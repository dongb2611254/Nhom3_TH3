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activeTab="4"/>
  </bookViews>
  <sheets>
    <sheet name="Điểm Tổng" sheetId="1" r:id="rId1"/>
    <sheet name="Điểm thực hành  các buổi" sheetId="2" r:id="rId2"/>
    <sheet name="Điểm bài tập lớn" sheetId="3" r:id="rId3"/>
    <sheet name="Điểm lý thuyết" sheetId="4" r:id="rId4"/>
    <sheet name="Các bảng tham chiếu &amp; Thống kê" sheetId="5" r:id="rId5"/>
    <sheet name="SV điểm &gt;=7" sheetId="6" r:id="rId6"/>
    <sheet name="SV điểm &lt;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<sst xmlns="http://schemas.openxmlformats.org/spreadsheetml/2006/main" count="263" uniqueCount="91">
  <si>
    <t>ĐIỂM THI HỌC KÌ I 2026-2027 (CT....)</t>
  </si>
  <si>
    <t>Ma CB</t>
  </si>
  <si>
    <t>Họ và Tên</t>
  </si>
  <si>
    <t>Nguyên Minh Trung</t>
  </si>
  <si>
    <t>Ma NH</t>
  </si>
  <si>
    <t>CT428</t>
  </si>
  <si>
    <t>NH</t>
  </si>
  <si>
    <t>Năm Học</t>
  </si>
  <si>
    <t>2026-2027</t>
  </si>
  <si>
    <t>Học Kì</t>
  </si>
  <si>
    <t>STT</t>
  </si>
  <si>
    <t>Mã SV</t>
  </si>
  <si>
    <t>Điểm TH1</t>
  </si>
  <si>
    <t>Điểm TH2</t>
  </si>
  <si>
    <t>Điểm TH3</t>
  </si>
  <si>
    <t>Điểm BT Lớn</t>
  </si>
  <si>
    <t>Điểm LT</t>
  </si>
  <si>
    <t>Điểm Tổng</t>
  </si>
  <si>
    <t>Điểm theo thang điểm 10</t>
  </si>
  <si>
    <t>Điểm chữ</t>
  </si>
  <si>
    <t>0B1805688</t>
  </si>
  <si>
    <t>1B2509687</t>
  </si>
  <si>
    <t>0B2509734</t>
  </si>
  <si>
    <t>0B2611246</t>
  </si>
  <si>
    <t>2B2611247</t>
  </si>
  <si>
    <t>0B2611248</t>
  </si>
  <si>
    <t>0B2611249</t>
  </si>
  <si>
    <t>0B2611250</t>
  </si>
  <si>
    <t>0B2611251</t>
  </si>
  <si>
    <t>1B2611252</t>
  </si>
  <si>
    <t>4B2611253</t>
  </si>
  <si>
    <t>2B2611254</t>
  </si>
  <si>
    <t>5B2611255</t>
  </si>
  <si>
    <t>0B2611256</t>
  </si>
  <si>
    <t>Điểm thực hành các buổi</t>
  </si>
  <si>
    <t>B1805688</t>
  </si>
  <si>
    <t>Phạm Gia Huy</t>
  </si>
  <si>
    <t>B2509687</t>
  </si>
  <si>
    <t>Nguyễn Thị Ngọc Như</t>
  </si>
  <si>
    <t>B2509734</t>
  </si>
  <si>
    <t>Võ Trương Trung Kiên</t>
  </si>
  <si>
    <t>B2611246</t>
  </si>
  <si>
    <t>Mạc Kiều Khả Ái</t>
  </si>
  <si>
    <t>B2611247</t>
  </si>
  <si>
    <t>Dương Duy Bằng</t>
  </si>
  <si>
    <t>B2611248</t>
  </si>
  <si>
    <t>Bùi Thanh Bình</t>
  </si>
  <si>
    <t>B2611249</t>
  </si>
  <si>
    <t>Lý Thanh Bình</t>
  </si>
  <si>
    <t>B2611250</t>
  </si>
  <si>
    <t>Ngô Thừa Chí</t>
  </si>
  <si>
    <t>B2611251</t>
  </si>
  <si>
    <t>Kim Tấn Đạt</t>
  </si>
  <si>
    <t>B2611252</t>
  </si>
  <si>
    <t>Nguyễn Minh Đạt</t>
  </si>
  <si>
    <t>B2611253</t>
  </si>
  <si>
    <t xml:space="preserve">Võ Thành Đồng </t>
  </si>
  <si>
    <t>B2611254</t>
  </si>
  <si>
    <t>Phạm Chí Đức</t>
  </si>
  <si>
    <t>B2611255</t>
  </si>
  <si>
    <t>Phan Thành Gia</t>
  </si>
  <si>
    <t>B2611256</t>
  </si>
  <si>
    <t>Ngô Trung Hậu</t>
  </si>
  <si>
    <t>Điểm bài tập lớn</t>
  </si>
  <si>
    <t>Điểm Lý Thuyết</t>
  </si>
  <si>
    <t>Điểm Lí Thuyết</t>
  </si>
  <si>
    <t>Bảng Quy Đổi</t>
  </si>
  <si>
    <t>Bảng Điểm Chuyên Cần</t>
  </si>
  <si>
    <t>Điểm Theo Thang Điểm 10</t>
  </si>
  <si>
    <t xml:space="preserve">Điểm 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</si>
  <si>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</si>
  <si>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</si>
  <si>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</si>
  <si>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</si>
  <si>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</si>
  <si>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</si>
  <si>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</si>
  <si>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</si>
  <si>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</si>
  <si>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</si>
  <si>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</si>
  <si>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Danh Sách Sinh viên</t>
  </si>
  <si>
    <t>Bảng Thống Kê Theo Điểm Chữ</t>
  </si>
  <si>
    <t>Họ Và Tên</t>
  </si>
  <si>
    <t>Điểm Chữ</t>
  </si>
  <si>
    <t>Số lượng SV</t>
  </si>
  <si>
    <t>Bảng Thống kê SV</t>
  </si>
  <si>
    <t>Số Sv Điểm BT lớn hơn = 0 Hoặc Điểm LT lớn hơn = -3</t>
  </si>
  <si>
    <t>Số SV nghỉ  TH&gt;2</t>
  </si>
  <si>
    <t>Điểm &gt;= 7</t>
  </si>
  <si>
    <t>Điểm &lt; 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</si>
</sst>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sz val="12"/>
      <color theme="1"/>
      <name val="Calibri"/>
      <charset val="134"/>
    </font>
    <font>
      <sz val="13"/>
      <color theme="1"/>
      <name val="Calibri"/>
      <charset val="134"/>
    </font>
    <font>
      <b/>
      <sz val="12"/>
      <color theme="1"/>
      <name val="Times New Roman"/>
      <charset val="134"/>
    </font>
    <font>
      <sz val="11"/>
      <name val="Calibri"/>
      <charset val="134"/>
      <scheme val="minor"/>
    </font>
    <font>
      <sz val="12"/>
      <color theme="1"/>
      <name val="Times New Roman"/>
      <charset val="134"/>
    </font>
    <font>
      <b/>
      <sz val="14"/>
      <color theme="1"/>
      <name val="Calibri"/>
      <charset val="134"/>
    </font>
    <font>
      <sz val="11"/>
      <color theme="1"/>
      <name val="Times New Roman"/>
      <charset val="134"/>
    </font>
    <font>
      <b/>
      <sz val="14"/>
      <color rgb="FFFF0000"/>
      <name val="Times New Roman"/>
      <charset val="134"/>
    </font>
    <font>
      <sz val="11"/>
      <color theme="1"/>
      <name val="Calibri"/>
      <charset val="134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4B7BE"/>
        <bgColor rgb="FFF4B7BE"/>
      </patternFill>
    </fill>
    <fill>
      <patternFill patternType="solid">
        <fgColor rgb="FFB5C7EA"/>
        <bgColor rgb="FFB5C7EA"/>
      </patternFill>
    </fill>
    <fill>
      <patternFill patternType="solid">
        <fgColor rgb="FFF8CCAB"/>
        <bgColor rgb="FFF8CCA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8" borderId="12" applyNumberFormat="0" applyAlignment="0" applyProtection="0">
      <alignment vertical="center"/>
    </xf>
    <xf numFmtId="0" fontId="23" fillId="8" borderId="11" applyNumberFormat="0" applyAlignment="0" applyProtection="0">
      <alignment vertical="center"/>
    </xf>
    <xf numFmtId="0" fontId="24" fillId="9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50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/>
    <xf numFmtId="0" fontId="2" fillId="0" borderId="2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3" fillId="0" borderId="4" xfId="0" applyFont="1" applyBorder="1" applyAlignment="1"/>
    <xf numFmtId="0" fontId="2" fillId="0" borderId="4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/>
    <xf numFmtId="0" fontId="7" fillId="0" borderId="3" xfId="0" applyFont="1" applyBorder="1" applyAlignment="1">
      <alignment horizontal="justify" vertical="center"/>
    </xf>
    <xf numFmtId="0" fontId="7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justify" vertical="center"/>
    </xf>
    <xf numFmtId="0" fontId="6" fillId="0" borderId="7" xfId="0" applyFont="1" applyBorder="1" applyAlignment="1">
      <alignment vertical="center"/>
    </xf>
    <xf numFmtId="0" fontId="6" fillId="0" borderId="4" xfId="0" applyFont="1" applyBorder="1" applyAlignment="1">
      <alignment horizontal="justify" vertical="center"/>
    </xf>
    <xf numFmtId="0" fontId="6" fillId="0" borderId="4" xfId="0" applyFont="1" applyBorder="1" applyAlignment="1">
      <alignment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2" fillId="0" borderId="1" xfId="0" applyFont="1" applyBorder="1" applyAlignment="1"/>
    <xf numFmtId="0" fontId="9" fillId="0" borderId="0" xfId="0" applyFont="1" applyAlignment="1">
      <alignment vertical="center"/>
    </xf>
    <xf numFmtId="0" fontId="2" fillId="0" borderId="4" xfId="0" applyFont="1" applyBorder="1" applyAlignment="1"/>
    <xf numFmtId="0" fontId="10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justify" vertical="center"/>
    </xf>
    <xf numFmtId="0" fontId="2" fillId="3" borderId="1" xfId="0" applyFont="1" applyFill="1" applyBorder="1" applyAlignment="1">
      <alignment vertical="center" wrapText="1"/>
    </xf>
    <xf numFmtId="0" fontId="12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/>
              <a:t>THỐNG KÊ SỐ LƯỢNG SINH VIÊN THEO ĐIỂM CHỮ</a:t>
            </a:r>
          </a:p>
        </c:rich>
      </c:tx>
      <c:layout>
        <c:manualLayout>
          <c:xMode val="edge"/>
          <c:yMode val="edge"/>
          <c:x val="0.130335655478151"/>
          <c:y val="0.02114164904862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'Các bảng tham chiếu &amp; Thống kê'!$F$14</c:f>
              <c:strCache>
                <c:ptCount val="1"/>
                <c:pt idx="0">
                  <c:v>Số lượng SV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1"/>
              <c:layout>
                <c:manualLayout>
                  <c:x val="-0.00399128588762175"/>
                  <c:y val="0.130698141330066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961431134741337"/>
                  <c:y val="0.0797581378580716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4566816972707"/>
                  <c:y val="-0.16947402659499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921513900922244"/>
                  <c:y val="-0.0731301837718471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144172352941433"/>
                  <c:y val="0.017097777405964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487080639020946"/>
                  <c:y val="0.16524569772719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'Các bảng tham chiếu &amp; Thống kê'!$E$15:$E$22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kê'!$F$15:$F$22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64770</xdr:colOff>
      <xdr:row>11</xdr:row>
      <xdr:rowOff>17145</xdr:rowOff>
    </xdr:from>
    <xdr:to>
      <xdr:col>15</xdr:col>
      <xdr:colOff>201295</xdr:colOff>
      <xdr:row>28</xdr:row>
      <xdr:rowOff>0</xdr:rowOff>
    </xdr:to>
    <xdr:graphicFrame>
      <xdr:nvGraphicFramePr>
        <xdr:cNvPr id="2" name="Chart 1"/>
        <xdr:cNvGraphicFramePr/>
      </xdr:nvGraphicFramePr>
      <xdr:xfrm>
        <a:off x="8206740" y="2284095"/>
        <a:ext cx="4998085" cy="3634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00"/>
  <sheetViews>
    <sheetView workbookViewId="0">
      <pane xSplit="3" ySplit="6" topLeftCell="D7" activePane="bottomRight" state="frozen"/>
      <selection/>
      <selection pane="topRight"/>
      <selection pane="bottomLeft"/>
      <selection pane="bottomRight" activeCell="D7" sqref="D7"/>
    </sheetView>
  </sheetViews>
  <sheetFormatPr defaultColWidth="14.4259259259259" defaultRowHeight="15" customHeight="1"/>
  <cols>
    <col min="1" max="1" width="6.28703703703704" customWidth="1"/>
    <col min="2" max="2" width="16.3333333333333" customWidth="1"/>
    <col min="3" max="3" width="23.712962962963" customWidth="1"/>
    <col min="4" max="5" width="13.3333333333333" customWidth="1"/>
    <col min="6" max="6" width="12.4259259259259" customWidth="1"/>
    <col min="7" max="7" width="16.712962962963" customWidth="1"/>
    <col min="8" max="8" width="10.712962962963" customWidth="1"/>
    <col min="9" max="9" width="13.8611111111111" customWidth="1"/>
    <col min="10" max="10" width="12.3333333333333" customWidth="1"/>
    <col min="11" max="11" width="12.1388888888889" customWidth="1"/>
    <col min="12" max="21" width="8.86111111111111" customWidth="1"/>
  </cols>
  <sheetData>
    <row r="1" ht="30" customHeight="1" spans="1:21">
      <c r="A1" s="40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  <c r="L1" s="41"/>
      <c r="M1" s="41"/>
      <c r="N1" s="41"/>
      <c r="O1" s="41"/>
      <c r="P1" s="41"/>
      <c r="Q1" s="41"/>
      <c r="R1" s="41"/>
      <c r="S1" s="41"/>
      <c r="T1" s="41"/>
      <c r="U1" s="41"/>
    </row>
    <row r="2" ht="14.25" customHeight="1" spans="1:21">
      <c r="A2" s="5"/>
      <c r="B2" s="23" t="s">
        <v>1</v>
      </c>
      <c r="C2" s="4">
        <v>1043</v>
      </c>
      <c r="D2" s="23" t="s">
        <v>2</v>
      </c>
      <c r="E2" s="42" t="s">
        <v>3</v>
      </c>
      <c r="F2" s="15"/>
      <c r="G2" s="16"/>
      <c r="H2" s="43"/>
      <c r="I2" s="43"/>
      <c r="J2" s="43"/>
      <c r="K2" s="5"/>
      <c r="L2" s="41"/>
      <c r="M2" s="41"/>
      <c r="N2" s="41"/>
      <c r="O2" s="41"/>
      <c r="P2" s="41"/>
      <c r="Q2" s="41"/>
      <c r="R2" s="41"/>
      <c r="S2" s="41"/>
      <c r="T2" s="41"/>
      <c r="U2" s="41"/>
    </row>
    <row r="3" ht="14.25" customHeight="1" spans="1:21">
      <c r="A3" s="5"/>
      <c r="B3" s="23" t="s">
        <v>4</v>
      </c>
      <c r="C3" s="4" t="s">
        <v>5</v>
      </c>
      <c r="D3" s="23" t="s">
        <v>6</v>
      </c>
      <c r="E3" s="44">
        <v>8</v>
      </c>
      <c r="F3" s="45"/>
      <c r="G3" s="46"/>
      <c r="H3" s="5"/>
      <c r="I3" s="43"/>
      <c r="J3" s="43"/>
      <c r="K3" s="43"/>
      <c r="L3" s="41"/>
      <c r="M3" s="41"/>
      <c r="N3" s="41"/>
      <c r="O3" s="41"/>
      <c r="P3" s="41"/>
      <c r="Q3" s="41"/>
      <c r="R3" s="41"/>
      <c r="S3" s="41"/>
      <c r="T3" s="41"/>
      <c r="U3" s="41"/>
    </row>
    <row r="4" ht="14.25" customHeight="1" spans="1:21">
      <c r="A4" s="5"/>
      <c r="B4" s="23" t="s">
        <v>7</v>
      </c>
      <c r="C4" s="4" t="s">
        <v>8</v>
      </c>
      <c r="D4" s="23" t="s">
        <v>9</v>
      </c>
      <c r="E4" s="44">
        <v>1</v>
      </c>
      <c r="F4" s="45"/>
      <c r="G4" s="46"/>
      <c r="H4" s="5"/>
      <c r="I4" s="43"/>
      <c r="J4" s="43"/>
      <c r="K4" s="43"/>
      <c r="L4" s="41"/>
      <c r="M4" s="41"/>
      <c r="N4" s="41"/>
      <c r="O4" s="41"/>
      <c r="P4" s="41"/>
      <c r="Q4" s="41"/>
      <c r="R4" s="41"/>
      <c r="S4" s="41"/>
      <c r="T4" s="41"/>
      <c r="U4" s="41"/>
    </row>
    <row r="5" ht="14.25" customHeight="1" spans="1:2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41"/>
      <c r="M5" s="41"/>
      <c r="N5" s="41"/>
      <c r="O5" s="41"/>
      <c r="P5" s="41"/>
      <c r="Q5" s="41"/>
      <c r="R5" s="41"/>
      <c r="S5" s="41"/>
      <c r="T5" s="41"/>
      <c r="U5" s="41"/>
    </row>
    <row r="6" ht="75" customHeight="1" spans="1:21">
      <c r="A6" s="1" t="s">
        <v>10</v>
      </c>
      <c r="B6" s="1" t="s">
        <v>11</v>
      </c>
      <c r="C6" s="1" t="s">
        <v>2</v>
      </c>
      <c r="D6" s="2" t="s">
        <v>12</v>
      </c>
      <c r="E6" s="2" t="s">
        <v>13</v>
      </c>
      <c r="F6" s="2" t="s">
        <v>14</v>
      </c>
      <c r="G6" s="3" t="s">
        <v>15</v>
      </c>
      <c r="H6" s="3" t="s">
        <v>16</v>
      </c>
      <c r="I6" s="3" t="s">
        <v>17</v>
      </c>
      <c r="J6" s="47" t="s">
        <v>18</v>
      </c>
      <c r="K6" s="3" t="s">
        <v>19</v>
      </c>
      <c r="L6" s="41"/>
      <c r="M6" s="41"/>
      <c r="N6" s="41"/>
      <c r="O6" s="41"/>
      <c r="P6" s="41"/>
      <c r="Q6" s="41"/>
      <c r="R6" s="41"/>
      <c r="S6" s="41"/>
      <c r="T6" s="41"/>
      <c r="U6" s="41"/>
    </row>
    <row r="7" ht="15.75" customHeight="1" spans="1:21">
      <c r="A7" s="4">
        <v>1</v>
      </c>
      <c r="B7" s="5" t="s">
        <v>20</v>
      </c>
      <c r="C7" s="6" t="str">
        <f>VLOOKUP(RIGHT(B7,8),'Điểm thực hành  các buổi'!$B$3:$F$16,2,0)</f>
        <v>Phạm Gia Huy</v>
      </c>
      <c r="D7" s="5">
        <f>VLOOKUP(RIGHT(B7,8),'Điểm thực hành  các buổi'!$B$3:$F$16,3,0)</f>
        <v>0.45</v>
      </c>
      <c r="E7" s="5">
        <f>VLOOKUP(RIGHT(B7,8),'Điểm thực hành  các buổi'!$B$3:$F$16,4,0)</f>
        <v>0.25</v>
      </c>
      <c r="F7" s="5">
        <f>VLOOKUP(RIGHT(B7,8),'Điểm thực hành  các buổi'!$B$3:$F$16,5,0)</f>
        <v>0.3</v>
      </c>
      <c r="G7" s="4">
        <f>VLOOKUP(RIGHT(B7,8),'Điểm bài tập lớn'!$B$3:$D$16,3,0)</f>
        <v>0.5</v>
      </c>
      <c r="H7" s="4">
        <f>VLOOKUP(RIGHT(B7,8),'Điểm lý thuyết'!$B$3:$D$16,3,0)</f>
        <v>4.2</v>
      </c>
      <c r="I7" s="5">
        <f>ROUND(IF(H7=-3,0,D7+E7+F7+G7+0.6*H7),1)</f>
        <v>4</v>
      </c>
      <c r="J7" s="48">
        <f>ROUND(IF(OR(G7=0,VALUE(LEFT(B7,1))&gt;2),0,I7+VLOOKUP(VALUE(LEFT(B7,1)),'Các bảng tham chiếu &amp; Thống kê'!$E$3:$F$5,2,0)),1)</f>
        <v>5</v>
      </c>
      <c r="K7" s="8" t="str">
        <f>VLOOKUP(J7,'Các bảng tham chiếu &amp; Thống kê'!$A$3:$B$10,2,1)</f>
        <v>D+</v>
      </c>
      <c r="L7" s="41"/>
      <c r="M7" s="41"/>
      <c r="N7" s="41"/>
      <c r="O7" s="41"/>
      <c r="P7" s="41"/>
      <c r="Q7" s="41"/>
      <c r="R7" s="41"/>
      <c r="S7" s="41"/>
      <c r="T7" s="41"/>
      <c r="U7" s="41"/>
    </row>
    <row r="8" customHeight="1" spans="1:21">
      <c r="A8" s="4">
        <v>2</v>
      </c>
      <c r="B8" s="9" t="s">
        <v>21</v>
      </c>
      <c r="C8" s="6" t="str">
        <f>VLOOKUP(RIGHT(B8,8),'Điểm thực hành  các buổi'!$B$3:$F$16,2,0)</f>
        <v>Nguyễn Thị Ngọc Như</v>
      </c>
      <c r="D8" s="5">
        <f>VLOOKUP(RIGHT(B8,8),'Điểm thực hành  các buổi'!$B$3:$F$16,3,0)</f>
        <v>0.5</v>
      </c>
      <c r="E8" s="5">
        <f>VLOOKUP(RIGHT(B8,8),'Điểm thực hành  các buổi'!$B$3:$F$16,4,0)</f>
        <v>0.35</v>
      </c>
      <c r="F8" s="5">
        <f>VLOOKUP(RIGHT(B8,8),'Điểm thực hành  các buổi'!$B$3:$F$16,5,0)</f>
        <v>0.4</v>
      </c>
      <c r="G8" s="4">
        <f>VLOOKUP(RIGHT(B8,8),'Điểm bài tập lớn'!$B$3:$D$16,3,0)</f>
        <v>1</v>
      </c>
      <c r="H8" s="4">
        <f>VLOOKUP(RIGHT(B8,8),'Điểm lý thuyết'!$B$3:$D$16,3,0)</f>
        <v>5.8</v>
      </c>
      <c r="I8" s="5">
        <f t="shared" ref="I8:I20" si="0">ROUND(IF(H8=-3,0,D8+E8+F8+G8+0.6*H8),1)</f>
        <v>5.7</v>
      </c>
      <c r="J8" s="48">
        <f>ROUND(IF(OR(G8=0,VALUE(LEFT(B8,1))&gt;2),0,I8+VLOOKUP(VALUE(LEFT(B8,1)),'Các bảng tham chiếu &amp; Thống kê'!$E$3:$F$5,2,0)),1)</f>
        <v>6.2</v>
      </c>
      <c r="K8" s="8" t="str">
        <f>VLOOKUP(J8,'Các bảng tham chiếu &amp; Thống kê'!$A$3:$B$10,2,1)</f>
        <v>C+</v>
      </c>
      <c r="L8" s="41"/>
      <c r="M8" s="41"/>
      <c r="N8" s="41"/>
      <c r="O8" s="41"/>
      <c r="P8" s="41"/>
      <c r="Q8" s="41"/>
      <c r="R8" s="41"/>
      <c r="S8" s="41"/>
      <c r="T8" s="41"/>
      <c r="U8" s="41"/>
    </row>
    <row r="9" ht="14.25" customHeight="1" spans="1:21">
      <c r="A9" s="4">
        <v>3</v>
      </c>
      <c r="B9" s="9" t="s">
        <v>22</v>
      </c>
      <c r="C9" s="6" t="str">
        <f>VLOOKUP(RIGHT(B9,8),'Điểm thực hành  các buổi'!$B$3:$F$16,2,0)</f>
        <v>Võ Trương Trung Kiên</v>
      </c>
      <c r="D9" s="5">
        <f>VLOOKUP(RIGHT(B9,8),'Điểm thực hành  các buổi'!$B$3:$F$16,3,0)</f>
        <v>0.24</v>
      </c>
      <c r="E9" s="5">
        <f>VLOOKUP(RIGHT(B9,8),'Điểm thực hành  các buổi'!$B$3:$F$16,4,0)</f>
        <v>0.25</v>
      </c>
      <c r="F9" s="5">
        <f>VLOOKUP(RIGHT(B9,8),'Điểm thực hành  các buổi'!$B$3:$F$16,5,0)</f>
        <v>0.3</v>
      </c>
      <c r="G9" s="4">
        <f>VLOOKUP(RIGHT(B9,8),'Điểm bài tập lớn'!$B$3:$D$16,3,0)</f>
        <v>1</v>
      </c>
      <c r="H9" s="4">
        <f>VLOOKUP(RIGHT(B9,8),'Điểm lý thuyết'!$B$3:$D$16,3,0)</f>
        <v>5.8</v>
      </c>
      <c r="I9" s="5">
        <f t="shared" si="0"/>
        <v>5.3</v>
      </c>
      <c r="J9" s="48">
        <f>ROUND(IF(OR(G9=0,VALUE(LEFT(B9,1))&gt;2),0,I9+VLOOKUP(VALUE(LEFT(B9,1)),'Các bảng tham chiếu &amp; Thống kê'!$E$3:$F$5,2,0)),1)</f>
        <v>6.3</v>
      </c>
      <c r="K9" s="8" t="str">
        <f>VLOOKUP(J9,'Các bảng tham chiếu &amp; Thống kê'!$A$3:$B$10,2,1)</f>
        <v>C+</v>
      </c>
      <c r="L9" s="41"/>
      <c r="M9" s="41"/>
      <c r="N9" s="41"/>
      <c r="O9" s="41"/>
      <c r="P9" s="41"/>
      <c r="Q9" s="41"/>
      <c r="R9" s="41"/>
      <c r="S9" s="41"/>
      <c r="T9" s="41"/>
      <c r="U9" s="41"/>
    </row>
    <row r="10" ht="14.25" customHeight="1" spans="1:21">
      <c r="A10" s="4">
        <v>4</v>
      </c>
      <c r="B10" s="5" t="s">
        <v>23</v>
      </c>
      <c r="C10" s="6" t="str">
        <f>VLOOKUP(RIGHT(B10,8),'Điểm thực hành  các buổi'!$B$3:$F$16,2,0)</f>
        <v>Mạc Kiều Khả Ái</v>
      </c>
      <c r="D10" s="5">
        <f>VLOOKUP(RIGHT(B10,8),'Điểm thực hành  các buổi'!$B$3:$F$16,3,0)</f>
        <v>0.4</v>
      </c>
      <c r="E10" s="5">
        <f>VLOOKUP(RIGHT(B10,8),'Điểm thực hành  các buổi'!$B$3:$F$16,4,0)</f>
        <v>0.25</v>
      </c>
      <c r="F10" s="5">
        <f>VLOOKUP(RIGHT(B10,8),'Điểm thực hành  các buổi'!$B$3:$F$16,5,0)</f>
        <v>0.35</v>
      </c>
      <c r="G10" s="4">
        <f>VLOOKUP(RIGHT(B10,8),'Điểm bài tập lớn'!$B$3:$D$16,3,0)</f>
        <v>0.5</v>
      </c>
      <c r="H10" s="4">
        <f>VLOOKUP(RIGHT(B10,8),'Điểm lý thuyết'!$B$3:$D$16,3,0)</f>
        <v>4.5</v>
      </c>
      <c r="I10" s="5">
        <f t="shared" si="0"/>
        <v>4.2</v>
      </c>
      <c r="J10" s="48">
        <f>ROUND(IF(OR(G10=0,VALUE(LEFT(B10,1))&gt;2),0,I10+VLOOKUP(VALUE(LEFT(B10,1)),'Các bảng tham chiếu &amp; Thống kê'!$E$3:$F$5,2,0)),1)</f>
        <v>5.2</v>
      </c>
      <c r="K10" s="8" t="str">
        <f>VLOOKUP(J10,'Các bảng tham chiếu &amp; Thống kê'!$A$3:$B$10,2,1)</f>
        <v>D+</v>
      </c>
      <c r="L10" s="41"/>
      <c r="M10" s="41"/>
      <c r="N10" s="41"/>
      <c r="O10" s="41"/>
      <c r="P10" s="41"/>
      <c r="Q10" s="41"/>
      <c r="R10" s="41"/>
      <c r="S10" s="41"/>
      <c r="T10" s="41"/>
      <c r="U10" s="41"/>
    </row>
    <row r="11" ht="14.25" customHeight="1" spans="1:21">
      <c r="A11" s="4">
        <v>5</v>
      </c>
      <c r="B11" s="5" t="s">
        <v>24</v>
      </c>
      <c r="C11" s="6" t="str">
        <f>VLOOKUP(RIGHT(B11,8),'Điểm thực hành  các buổi'!$B$3:$F$16,2,0)</f>
        <v>Dương Duy Bằng</v>
      </c>
      <c r="D11" s="5">
        <f>VLOOKUP(RIGHT(B11,8),'Điểm thực hành  các buổi'!$B$3:$F$16,3,0)</f>
        <v>0.45</v>
      </c>
      <c r="E11" s="5">
        <f>VLOOKUP(RIGHT(B11,8),'Điểm thực hành  các buổi'!$B$3:$F$16,4,0)</f>
        <v>0.4</v>
      </c>
      <c r="F11" s="5">
        <f>VLOOKUP(RIGHT(B11,8),'Điểm thực hành  các buổi'!$B$3:$F$16,5,0)</f>
        <v>0.35</v>
      </c>
      <c r="G11" s="4">
        <f>VLOOKUP(RIGHT(B11,8),'Điểm bài tập lớn'!$B$3:$D$16,3,0)</f>
        <v>0.75</v>
      </c>
      <c r="H11" s="4">
        <f>VLOOKUP(RIGHT(B11,8),'Điểm lý thuyết'!$B$3:$D$16,3,0)</f>
        <v>5.5</v>
      </c>
      <c r="I11" s="5">
        <f t="shared" si="0"/>
        <v>5.3</v>
      </c>
      <c r="J11" s="48">
        <f>ROUND(IF(OR(G11=0,VALUE(LEFT(B11,1))&gt;2),0,I11+VLOOKUP(VALUE(LEFT(B11,1)),'Các bảng tham chiếu &amp; Thống kê'!$E$3:$F$5,2,0)),1)</f>
        <v>5.6</v>
      </c>
      <c r="K11" s="8" t="str">
        <f>VLOOKUP(J11,'Các bảng tham chiếu &amp; Thống kê'!$A$3:$B$10,2,1)</f>
        <v>C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</row>
    <row r="12" ht="14.25" customHeight="1" spans="1:21">
      <c r="A12" s="4">
        <v>6</v>
      </c>
      <c r="B12" s="5" t="s">
        <v>25</v>
      </c>
      <c r="C12" s="6" t="str">
        <f>VLOOKUP(RIGHT(B12,8),'Điểm thực hành  các buổi'!$B$3:$F$16,2,0)</f>
        <v>Bùi Thanh Bình</v>
      </c>
      <c r="D12" s="5">
        <f>VLOOKUP(RIGHT(B12,8),'Điểm thực hành  các buổi'!$B$3:$F$16,3,0)</f>
        <v>0.4</v>
      </c>
      <c r="E12" s="49">
        <f>VLOOKUP(RIGHT(B12,8),'Điểm thực hành  các buổi'!$B$3:$F$16,4,0)</f>
        <v>0.45</v>
      </c>
      <c r="F12" s="5">
        <f>VLOOKUP(RIGHT(B12,8),'Điểm thực hành  các buổi'!$B$3:$F$16,5,0)</f>
        <v>0.5</v>
      </c>
      <c r="G12" s="4">
        <f>VLOOKUP(RIGHT(B12,8),'Điểm bài tập lớn'!$B$3:$D$16,3,0)</f>
        <v>0.25</v>
      </c>
      <c r="H12" s="4">
        <f>VLOOKUP(RIGHT(B12,8),'Điểm lý thuyết'!$B$3:$D$16,3,0)</f>
        <v>7.5</v>
      </c>
      <c r="I12" s="5">
        <f>ROUND(IF(H12=-3,0,D12+F12+G12+0.6*H12),1)</f>
        <v>5.7</v>
      </c>
      <c r="J12" s="48">
        <f>ROUND(IF(OR(G12=0,VALUE(LEFT(B12,1))&gt;2),0,I12+VLOOKUP(VALUE(LEFT(B12,1)),'Các bảng tham chiếu &amp; Thống kê'!$E$3:$F$5,2,0)),1)</f>
        <v>6.7</v>
      </c>
      <c r="K12" s="8" t="str">
        <f>VLOOKUP(J12,'Các bảng tham chiếu &amp; Thống kê'!$A$3:$B$10,2,1)</f>
        <v>C+</v>
      </c>
      <c r="L12" s="41"/>
      <c r="M12" s="41"/>
      <c r="N12" s="41"/>
      <c r="O12" s="41"/>
      <c r="P12" s="41"/>
      <c r="Q12" s="41"/>
      <c r="R12" s="41"/>
      <c r="S12" s="41"/>
      <c r="T12" s="41"/>
      <c r="U12" s="41"/>
    </row>
    <row r="13" ht="14.25" customHeight="1" spans="1:21">
      <c r="A13" s="4">
        <v>7</v>
      </c>
      <c r="B13" s="5" t="s">
        <v>26</v>
      </c>
      <c r="C13" s="6" t="str">
        <f>VLOOKUP(RIGHT(B13,8),'Điểm thực hành  các buổi'!$B$3:$F$16,2,0)</f>
        <v>Lý Thanh Bình</v>
      </c>
      <c r="D13" s="5">
        <f>VLOOKUP(RIGHT(B13,8),'Điểm thực hành  các buổi'!$B$3:$F$16,3,0)</f>
        <v>0.4</v>
      </c>
      <c r="E13" s="5">
        <f>VLOOKUP(RIGHT(B13,8),'Điểm thực hành  các buổi'!$B$3:$F$16,4,0)</f>
        <v>0.4</v>
      </c>
      <c r="F13" s="5">
        <f>VLOOKUP(RIGHT(B13,8),'Điểm thực hành  các buổi'!$B$3:$F$16,5,0)</f>
        <v>0.4</v>
      </c>
      <c r="G13" s="4">
        <f>VLOOKUP(RIGHT(B13,8),'Điểm bài tập lớn'!$B$3:$D$16,3,0)</f>
        <v>1</v>
      </c>
      <c r="H13" s="4">
        <f>VLOOKUP(RIGHT(B13,8),'Điểm lý thuyết'!$B$3:$D$16,3,0)</f>
        <v>5.3</v>
      </c>
      <c r="I13" s="5">
        <f>ROUND(IF(H13=-3,0,D13+E13+F13+G13+0.6*H13),1)</f>
        <v>5.4</v>
      </c>
      <c r="J13" s="48">
        <f>ROUND(IF(OR(G13=0,VALUE(LEFT(B13,1))&gt;2),0,I13+VLOOKUP(VALUE(LEFT(B13,1)),'Các bảng tham chiếu &amp; Thống kê'!$E$3:$F$5,2,0)),1)</f>
        <v>6.4</v>
      </c>
      <c r="K13" s="8" t="str">
        <f>VLOOKUP(J13,'Các bảng tham chiếu &amp; Thống kê'!$A$3:$B$10,2,1)</f>
        <v>C+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</row>
    <row r="14" ht="14.25" customHeight="1" spans="1:21">
      <c r="A14" s="4">
        <v>8</v>
      </c>
      <c r="B14" s="5" t="s">
        <v>27</v>
      </c>
      <c r="C14" s="6" t="str">
        <f>VLOOKUP(RIGHT(B14,8),'Điểm thực hành  các buổi'!$B$3:$F$16,2,0)</f>
        <v>Ngô Thừa Chí</v>
      </c>
      <c r="D14" s="5">
        <f>VLOOKUP(RIGHT(B14,8),'Điểm thực hành  các buổi'!$B$3:$F$16,3,0)</f>
        <v>0.45</v>
      </c>
      <c r="E14" s="5">
        <f>VLOOKUP(RIGHT(B14,8),'Điểm thực hành  các buổi'!$B$3:$F$16,4,0)</f>
        <v>0.4</v>
      </c>
      <c r="F14" s="5">
        <f>VLOOKUP(RIGHT(B14,8),'Điểm thực hành  các buổi'!$B$3:$F$16,5,0)</f>
        <v>0.45</v>
      </c>
      <c r="G14" s="4">
        <f>VLOOKUP(RIGHT(B14,8),'Điểm bài tập lớn'!$B$3:$D$16,3,0)</f>
        <v>1.5</v>
      </c>
      <c r="H14" s="4">
        <f>VLOOKUP(RIGHT(B14,8),'Điểm lý thuyết'!$B$3:$D$16,3,0)</f>
        <v>6.8</v>
      </c>
      <c r="I14" s="5">
        <f t="shared" si="0"/>
        <v>6.9</v>
      </c>
      <c r="J14" s="48">
        <f>ROUND(IF(OR(G14=0,VALUE(LEFT(B14,1))&gt;2),0,I14+VLOOKUP(VALUE(LEFT(B14,1)),'Các bảng tham chiếu &amp; Thống kê'!$E$3:$F$5,2,0)),1)</f>
        <v>7.9</v>
      </c>
      <c r="K14" s="8" t="str">
        <f>VLOOKUP(J14,'Các bảng tham chiếu &amp; Thống kê'!$A$3:$B$10,2,1)</f>
        <v>B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</row>
    <row r="15" ht="14.25" customHeight="1" spans="1:21">
      <c r="A15" s="4">
        <v>9</v>
      </c>
      <c r="B15" s="5" t="s">
        <v>28</v>
      </c>
      <c r="C15" s="6" t="str">
        <f>VLOOKUP(RIGHT(B15,8),'Điểm thực hành  các buổi'!$B$3:$F$16,2,0)</f>
        <v>Kim Tấn Đạt</v>
      </c>
      <c r="D15" s="5">
        <f>VLOOKUP(RIGHT(B15,8),'Điểm thực hành  các buổi'!$B$3:$F$16,3,0)</f>
        <v>0.45</v>
      </c>
      <c r="E15" s="5">
        <f>VLOOKUP(RIGHT(B15,8),'Điểm thực hành  các buổi'!$B$3:$F$16,4,0)</f>
        <v>0.4</v>
      </c>
      <c r="F15" s="5">
        <f>VLOOKUP(RIGHT(B15,8),'Điểm thực hành  các buổi'!$B$3:$F$16,5,0)</f>
        <v>0.4</v>
      </c>
      <c r="G15" s="4">
        <f>VLOOKUP(RIGHT(B15,8),'Điểm bài tập lớn'!$B$3:$D$16,3,0)</f>
        <v>0.5</v>
      </c>
      <c r="H15" s="4">
        <f>VLOOKUP(RIGHT(B15,8),'Điểm lý thuyết'!$B$3:$D$16,3,0)</f>
        <v>6.3</v>
      </c>
      <c r="I15" s="5">
        <f t="shared" si="0"/>
        <v>5.5</v>
      </c>
      <c r="J15" s="48">
        <f>ROUND(IF(OR(G15=0,VALUE(LEFT(B15,1))&gt;2),0,I15+VLOOKUP(VALUE(LEFT(B15,1)),'Các bảng tham chiếu &amp; Thống kê'!$E$3:$F$5,2,0)),1)</f>
        <v>6.5</v>
      </c>
      <c r="K15" s="8" t="str">
        <f>VLOOKUP(J15,'Các bảng tham chiếu &amp; Thống kê'!$A$3:$B$10,2,1)</f>
        <v>C+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</row>
    <row r="16" ht="14.25" customHeight="1" spans="1:21">
      <c r="A16" s="4">
        <v>10</v>
      </c>
      <c r="B16" s="5" t="s">
        <v>29</v>
      </c>
      <c r="C16" s="6" t="str">
        <f>VLOOKUP(RIGHT(B16,8),'Điểm thực hành  các buổi'!$B$3:$F$16,2,0)</f>
        <v>Nguyễn Minh Đạt</v>
      </c>
      <c r="D16" s="5">
        <f>VLOOKUP(RIGHT(B16,8),'Điểm thực hành  các buổi'!$B$3:$F$16,3,0)</f>
        <v>0.3</v>
      </c>
      <c r="E16" s="5">
        <f>VLOOKUP(RIGHT(B16,8),'Điểm thực hành  các buổi'!$B$3:$F$16,4,0)</f>
        <v>0.5</v>
      </c>
      <c r="F16" s="5">
        <f>VLOOKUP(RIGHT(B16,8),'Điểm thực hành  các buổi'!$B$3:$F$16,5,0)</f>
        <v>0.45</v>
      </c>
      <c r="G16" s="4">
        <f>VLOOKUP(RIGHT(B16,8),'Điểm bài tập lớn'!$B$3:$D$16,3,0)</f>
        <v>1.25</v>
      </c>
      <c r="H16" s="4">
        <f>VLOOKUP(RIGHT(B16,8),'Điểm lý thuyết'!$B$3:$D$16,3,0)</f>
        <v>8.3</v>
      </c>
      <c r="I16" s="5">
        <f t="shared" si="0"/>
        <v>7.5</v>
      </c>
      <c r="J16" s="48">
        <f>ROUND(IF(OR(G16=0,VALUE(LEFT(B16,1))&gt;2),0,I16+VLOOKUP(VALUE(LEFT(B16,1)),'Các bảng tham chiếu &amp; Thống kê'!$E$3:$F$5,2,0)),1)</f>
        <v>8</v>
      </c>
      <c r="K16" s="8" t="str">
        <f>VLOOKUP(J16,'Các bảng tham chiếu &amp; Thống kê'!$A$3:$B$10,2,1)</f>
        <v>B+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</row>
    <row r="17" ht="14.25" customHeight="1" spans="1:21">
      <c r="A17" s="10">
        <v>11</v>
      </c>
      <c r="B17" s="5" t="s">
        <v>30</v>
      </c>
      <c r="C17" s="6" t="str">
        <f>VLOOKUP(RIGHT(B17,8),'Điểm thực hành  các buổi'!$B$3:$F$16,2,0)</f>
        <v>Võ Thành Đồng </v>
      </c>
      <c r="D17" s="5">
        <f>VLOOKUP(RIGHT(B17,8),'Điểm thực hành  các buổi'!$B$3:$F$16,3,0)</f>
        <v>0.4</v>
      </c>
      <c r="E17" s="5">
        <f>VLOOKUP(RIGHT(B17,8),'Điểm thực hành  các buổi'!$B$3:$F$16,4,0)</f>
        <v>0.45</v>
      </c>
      <c r="F17" s="5">
        <f>VLOOKUP(RIGHT(B17,8),'Điểm thực hành  các buổi'!$B$3:$F$16,5,0)</f>
        <v>0.4</v>
      </c>
      <c r="G17" s="4">
        <f>VLOOKUP(RIGHT(B17,8),'Điểm bài tập lớn'!$B$3:$D$16,3,0)</f>
        <v>1</v>
      </c>
      <c r="H17" s="4">
        <f>VLOOKUP(RIGHT(B17,8),'Điểm lý thuyết'!$B$3:$D$16,3,0)</f>
        <v>-3</v>
      </c>
      <c r="I17" s="5">
        <f t="shared" si="0"/>
        <v>0</v>
      </c>
      <c r="J17" s="48">
        <f>ROUND(IF(OR(G17=0,VALUE(LEFT(B17,1))&gt;2),0,I17+VLOOKUP(VALUE(LEFT(B17,1)),'Các bảng tham chiếu &amp; Thống kê'!$E$3:$F$5,2,0)),1)</f>
        <v>0</v>
      </c>
      <c r="K17" s="8" t="str">
        <f>VLOOKUP(J17,'Các bảng tham chiếu &amp; Thống kê'!$A$3:$B$10,2,1)</f>
        <v>F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</row>
    <row r="18" ht="14.25" customHeight="1" spans="1:21">
      <c r="A18" s="4">
        <v>12</v>
      </c>
      <c r="B18" s="11" t="s">
        <v>31</v>
      </c>
      <c r="C18" s="6" t="str">
        <f>VLOOKUP(RIGHT(B18,8),'Điểm thực hành  các buổi'!$B$3:$F$16,2,0)</f>
        <v>Phạm Chí Đức</v>
      </c>
      <c r="D18" s="5">
        <f>VLOOKUP(RIGHT(B18,8),'Điểm thực hành  các buổi'!$B$3:$F$16,3,0)</f>
        <v>0.5</v>
      </c>
      <c r="E18" s="5">
        <f>VLOOKUP(RIGHT(B18,8),'Điểm thực hành  các buổi'!$B$3:$F$16,4,0)</f>
        <v>0.5</v>
      </c>
      <c r="F18" s="5">
        <f>VLOOKUP(RIGHT(B18,8),'Điểm thực hành  các buổi'!$B$3:$F$16,5,0)</f>
        <v>0.45</v>
      </c>
      <c r="G18" s="4">
        <f>VLOOKUP(RIGHT(B18,8),'Điểm bài tập lớn'!$B$3:$D$16,3,0)</f>
        <v>1</v>
      </c>
      <c r="H18" s="4">
        <f>VLOOKUP(RIGHT(B18,8),'Điểm lý thuyết'!$B$3:$D$16,3,0)</f>
        <v>7</v>
      </c>
      <c r="I18" s="5">
        <f t="shared" si="0"/>
        <v>6.7</v>
      </c>
      <c r="J18" s="48">
        <f>ROUND(IF(OR(G18=0,VALUE(LEFT(B18,1))&gt;2),0,I18+VLOOKUP(VALUE(LEFT(B18,1)),'Các bảng tham chiếu &amp; Thống kê'!$E$3:$F$5,2,0)),1)</f>
        <v>7</v>
      </c>
      <c r="K18" s="8" t="str">
        <f>VLOOKUP(J18,'Các bảng tham chiếu &amp; Thống kê'!$A$3:$B$10,2,1)</f>
        <v>B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</row>
    <row r="19" ht="14.25" customHeight="1" spans="1:21">
      <c r="A19" s="13">
        <v>13</v>
      </c>
      <c r="B19" s="11" t="s">
        <v>32</v>
      </c>
      <c r="C19" s="6" t="str">
        <f>VLOOKUP(RIGHT(B19,8),'Điểm thực hành  các buổi'!$B$3:$F$16,2,0)</f>
        <v>Phan Thành Gia</v>
      </c>
      <c r="D19" s="5">
        <f>VLOOKUP(RIGHT(B19,8),'Điểm thực hành  các buổi'!$B$3:$F$16,3,0)</f>
        <v>0.4</v>
      </c>
      <c r="E19" s="5">
        <f>VLOOKUP(RIGHT(B19,8),'Điểm thực hành  các buổi'!$B$3:$F$16,4,0)</f>
        <v>0.4</v>
      </c>
      <c r="F19" s="5">
        <f>VLOOKUP(RIGHT(B19,8),'Điểm thực hành  các buổi'!$B$3:$F$16,5,0)</f>
        <v>0.35</v>
      </c>
      <c r="G19" s="4">
        <f>VLOOKUP(RIGHT(B19,8),'Điểm bài tập lớn'!$B$3:$D$16,3,0)</f>
        <v>0.75</v>
      </c>
      <c r="H19" s="4">
        <f>VLOOKUP(RIGHT(B19,8),'Điểm lý thuyết'!$B$3:$D$16,3,0)</f>
        <v>-3</v>
      </c>
      <c r="I19" s="5">
        <f t="shared" si="0"/>
        <v>0</v>
      </c>
      <c r="J19" s="48">
        <f>ROUND(IF(OR(G19=0,VALUE(LEFT(B19,1))&gt;2),0,I19+VLOOKUP(VALUE(LEFT(B19,1)),'Các bảng tham chiếu &amp; Thống kê'!$E$3:$F$5,2,0)),1)</f>
        <v>0</v>
      </c>
      <c r="K19" s="8" t="str">
        <f>VLOOKUP(J19,'Các bảng tham chiếu &amp; Thống kê'!$A$3:$B$10,2,1)</f>
        <v>F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</row>
    <row r="20" ht="14.25" customHeight="1" spans="1:21">
      <c r="A20" s="4">
        <v>14</v>
      </c>
      <c r="B20" s="5" t="s">
        <v>33</v>
      </c>
      <c r="C20" s="6" t="str">
        <f>VLOOKUP(RIGHT(B20,8),'Điểm thực hành  các buổi'!$B$3:$F$16,2,0)</f>
        <v>Ngô Trung Hậu</v>
      </c>
      <c r="D20" s="5">
        <f>VLOOKUP(RIGHT(B20,8),'Điểm thực hành  các buổi'!$B$3:$F$16,3,0)</f>
        <v>0.35</v>
      </c>
      <c r="E20" s="5">
        <f>VLOOKUP(RIGHT(B20,8),'Điểm thực hành  các buổi'!$B$3:$F$16,4,0)</f>
        <v>0.4</v>
      </c>
      <c r="F20" s="5">
        <f>VLOOKUP(RIGHT(B20,8),'Điểm thực hành  các buổi'!$B$3:$F$16,5,0)</f>
        <v>0</v>
      </c>
      <c r="G20" s="4">
        <f>VLOOKUP(RIGHT(B20,8),'Điểm bài tập lớn'!$B$3:$D$16,3,0)</f>
        <v>0.5</v>
      </c>
      <c r="H20" s="4">
        <f>VLOOKUP(RIGHT(B20,8),'Điểm lý thuyết'!$B$3:$D$16,3,0)</f>
        <v>6.5</v>
      </c>
      <c r="I20" s="5">
        <f t="shared" si="0"/>
        <v>5.2</v>
      </c>
      <c r="J20" s="48">
        <f>ROUND(IF(OR(G20=0,VALUE(LEFT(B20,1))&gt;2),0,I20+VLOOKUP(VALUE(LEFT(B20,1)),'Các bảng tham chiếu &amp; Thống kê'!$E$3:$F$5,2,0)),1)</f>
        <v>6.2</v>
      </c>
      <c r="K20" s="8" t="str">
        <f>VLOOKUP(J20,'Các bảng tham chiếu &amp; Thống kê'!$A$3:$B$10,2,1)</f>
        <v>C+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</row>
    <row r="21" ht="14.25" customHeight="1" spans="1:2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</row>
    <row r="22" ht="14.25" customHeight="1" spans="1:2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</row>
    <row r="23" ht="14.25" customHeight="1" spans="1:2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</row>
    <row r="24" ht="14.25" customHeight="1" spans="1:2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</row>
    <row r="25" ht="14.25" customHeight="1" spans="1:2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</row>
    <row r="26" ht="14.25" customHeight="1" spans="1:2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</row>
    <row r="27" ht="14.25" customHeight="1" spans="1:2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</row>
    <row r="28" ht="14.25" customHeight="1" spans="1:2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</row>
    <row r="29" ht="14.25" customHeight="1" spans="1:2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K1"/>
    <mergeCell ref="E2:G2"/>
    <mergeCell ref="E3:G3"/>
    <mergeCell ref="E4:G4"/>
  </mergeCells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workbookViewId="0">
      <selection activeCell="E8" sqref="E8"/>
    </sheetView>
  </sheetViews>
  <sheetFormatPr defaultColWidth="14.4259259259259" defaultRowHeight="15" customHeight="1" outlineLevelCol="5"/>
  <cols>
    <col min="1" max="1" width="8.86111111111111" customWidth="1"/>
    <col min="2" max="2" width="15.5740740740741" customWidth="1"/>
    <col min="3" max="3" width="29.287037037037" customWidth="1"/>
    <col min="4" max="4" width="14.4259259259259" customWidth="1"/>
    <col min="5" max="5" width="16.1388888888889" customWidth="1"/>
    <col min="6" max="6" width="16.287037037037" customWidth="1"/>
    <col min="7" max="26" width="8.86111111111111" customWidth="1"/>
  </cols>
  <sheetData>
    <row r="1" ht="18.15" spans="1:6">
      <c r="A1" s="35" t="s">
        <v>34</v>
      </c>
      <c r="B1" s="15"/>
      <c r="C1" s="15"/>
      <c r="D1" s="15"/>
      <c r="E1" s="15"/>
      <c r="F1" s="16"/>
    </row>
    <row r="2" ht="18.15" spans="1:6">
      <c r="A2" s="36" t="s">
        <v>10</v>
      </c>
      <c r="B2" s="36" t="s">
        <v>11</v>
      </c>
      <c r="C2" s="36" t="s">
        <v>2</v>
      </c>
      <c r="D2" s="36" t="s">
        <v>12</v>
      </c>
      <c r="E2" s="36" t="s">
        <v>13</v>
      </c>
      <c r="F2" s="36" t="s">
        <v>14</v>
      </c>
    </row>
    <row r="3" ht="18.75" spans="1:6">
      <c r="A3" s="4">
        <v>1</v>
      </c>
      <c r="B3" s="5" t="s">
        <v>35</v>
      </c>
      <c r="C3" s="37" t="s">
        <v>36</v>
      </c>
      <c r="D3" s="5">
        <v>0.45</v>
      </c>
      <c r="E3" s="5">
        <v>0.25</v>
      </c>
      <c r="F3" s="5">
        <v>0.3</v>
      </c>
    </row>
    <row r="4" ht="18.75" spans="1:6">
      <c r="A4" s="4">
        <v>2</v>
      </c>
      <c r="B4" s="37" t="s">
        <v>37</v>
      </c>
      <c r="C4" s="37" t="s">
        <v>38</v>
      </c>
      <c r="D4" s="5">
        <v>0.5</v>
      </c>
      <c r="E4" s="5">
        <v>0.35</v>
      </c>
      <c r="F4" s="5">
        <v>0.4</v>
      </c>
    </row>
    <row r="5" ht="18.75" spans="1:6">
      <c r="A5" s="4">
        <v>3</v>
      </c>
      <c r="B5" s="37" t="s">
        <v>39</v>
      </c>
      <c r="C5" s="37" t="s">
        <v>40</v>
      </c>
      <c r="D5" s="5">
        <v>0.24</v>
      </c>
      <c r="E5" s="5">
        <v>0.25</v>
      </c>
      <c r="F5" s="5">
        <v>0.3</v>
      </c>
    </row>
    <row r="6" ht="18.75" spans="1:6">
      <c r="A6" s="4">
        <v>4</v>
      </c>
      <c r="B6" s="5" t="s">
        <v>41</v>
      </c>
      <c r="C6" s="37" t="s">
        <v>42</v>
      </c>
      <c r="D6" s="5">
        <v>0.4</v>
      </c>
      <c r="E6" s="5">
        <v>0.25</v>
      </c>
      <c r="F6" s="5">
        <v>0.35</v>
      </c>
    </row>
    <row r="7" ht="18.75" spans="1:6">
      <c r="A7" s="4">
        <v>5</v>
      </c>
      <c r="B7" s="5" t="s">
        <v>43</v>
      </c>
      <c r="C7" s="37" t="s">
        <v>44</v>
      </c>
      <c r="D7" s="5">
        <v>0.45</v>
      </c>
      <c r="E7" s="5">
        <v>0.4</v>
      </c>
      <c r="F7" s="5">
        <v>0.35</v>
      </c>
    </row>
    <row r="8" ht="18.75" spans="1:6">
      <c r="A8" s="4">
        <v>6</v>
      </c>
      <c r="B8" s="5" t="s">
        <v>45</v>
      </c>
      <c r="C8" s="37" t="s">
        <v>46</v>
      </c>
      <c r="D8" s="5">
        <v>0.4</v>
      </c>
      <c r="E8" s="5">
        <v>0.45</v>
      </c>
      <c r="F8" s="5">
        <v>0.5</v>
      </c>
    </row>
    <row r="9" ht="18.75" spans="1:6">
      <c r="A9" s="4">
        <v>7</v>
      </c>
      <c r="B9" s="5" t="s">
        <v>47</v>
      </c>
      <c r="C9" s="37" t="s">
        <v>48</v>
      </c>
      <c r="D9" s="5">
        <v>0.4</v>
      </c>
      <c r="E9" s="5">
        <v>0.4</v>
      </c>
      <c r="F9" s="5">
        <v>0.4</v>
      </c>
    </row>
    <row r="10" ht="18.75" spans="1:6">
      <c r="A10" s="4">
        <v>8</v>
      </c>
      <c r="B10" s="5" t="s">
        <v>49</v>
      </c>
      <c r="C10" s="37" t="s">
        <v>50</v>
      </c>
      <c r="D10" s="5">
        <v>0.45</v>
      </c>
      <c r="E10" s="5">
        <v>0.4</v>
      </c>
      <c r="F10" s="5">
        <v>0.45</v>
      </c>
    </row>
    <row r="11" ht="18.75" spans="1:6">
      <c r="A11" s="4">
        <v>9</v>
      </c>
      <c r="B11" s="5" t="s">
        <v>51</v>
      </c>
      <c r="C11" s="37" t="s">
        <v>52</v>
      </c>
      <c r="D11" s="5">
        <v>0.45</v>
      </c>
      <c r="E11" s="5">
        <v>0.4</v>
      </c>
      <c r="F11" s="5">
        <v>0.4</v>
      </c>
    </row>
    <row r="12" ht="18.75" spans="1:6">
      <c r="A12" s="4">
        <v>10</v>
      </c>
      <c r="B12" s="5" t="s">
        <v>53</v>
      </c>
      <c r="C12" s="37" t="s">
        <v>54</v>
      </c>
      <c r="D12" s="5">
        <v>0.3</v>
      </c>
      <c r="E12" s="5">
        <v>0.5</v>
      </c>
      <c r="F12" s="5">
        <v>0.45</v>
      </c>
    </row>
    <row r="13" ht="18.75" spans="1:6">
      <c r="A13" s="4">
        <v>11</v>
      </c>
      <c r="B13" s="5" t="s">
        <v>55</v>
      </c>
      <c r="C13" s="37" t="s">
        <v>56</v>
      </c>
      <c r="D13" s="5">
        <v>0.4</v>
      </c>
      <c r="E13" s="5">
        <v>0.45</v>
      </c>
      <c r="F13" s="5">
        <v>0.4</v>
      </c>
    </row>
    <row r="14" ht="18.75" spans="1:6">
      <c r="A14" s="4">
        <v>12</v>
      </c>
      <c r="B14" s="11" t="s">
        <v>57</v>
      </c>
      <c r="C14" s="39" t="s">
        <v>58</v>
      </c>
      <c r="D14" s="5">
        <v>0.5</v>
      </c>
      <c r="E14" s="5">
        <v>0.5</v>
      </c>
      <c r="F14" s="5">
        <v>0.45</v>
      </c>
    </row>
    <row r="15" ht="18.75" spans="1:6">
      <c r="A15" s="13">
        <v>13</v>
      </c>
      <c r="B15" s="11" t="s">
        <v>59</v>
      </c>
      <c r="C15" s="39" t="s">
        <v>60</v>
      </c>
      <c r="D15" s="5">
        <v>0.4</v>
      </c>
      <c r="E15" s="5">
        <v>0.4</v>
      </c>
      <c r="F15" s="11">
        <v>0.35</v>
      </c>
    </row>
    <row r="16" ht="18.75" spans="1:6">
      <c r="A16" s="4">
        <v>14</v>
      </c>
      <c r="B16" s="5" t="s">
        <v>61</v>
      </c>
      <c r="C16" s="37" t="s">
        <v>62</v>
      </c>
      <c r="D16" s="5">
        <v>0.35</v>
      </c>
      <c r="E16" s="5">
        <v>0.4</v>
      </c>
      <c r="F16" s="5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workbookViewId="0">
      <selection activeCell="A1" sqref="A1:D1"/>
    </sheetView>
  </sheetViews>
  <sheetFormatPr defaultColWidth="14.4259259259259" defaultRowHeight="15" customHeight="1" outlineLevelCol="7"/>
  <cols>
    <col min="1" max="1" width="8.86111111111111" customWidth="1"/>
    <col min="2" max="2" width="13.8611111111111" customWidth="1"/>
    <col min="3" max="3" width="28.5740740740741" customWidth="1"/>
    <col min="4" max="4" width="23" customWidth="1"/>
    <col min="5" max="26" width="8.86111111111111" customWidth="1"/>
  </cols>
  <sheetData>
    <row r="1" ht="18.15" spans="1:8">
      <c r="A1" s="35" t="s">
        <v>63</v>
      </c>
      <c r="B1" s="15"/>
      <c r="C1" s="15"/>
      <c r="D1" s="16"/>
    </row>
    <row r="2" ht="18.15" spans="1:8">
      <c r="A2" s="36" t="s">
        <v>10</v>
      </c>
      <c r="B2" s="36" t="s">
        <v>11</v>
      </c>
      <c r="C2" s="36" t="s">
        <v>2</v>
      </c>
      <c r="D2" s="36" t="s">
        <v>15</v>
      </c>
    </row>
    <row r="3" ht="18.75" spans="1:8">
      <c r="A3" s="4">
        <v>1</v>
      </c>
      <c r="B3" s="5" t="s">
        <v>35</v>
      </c>
      <c r="C3" s="37" t="s">
        <v>36</v>
      </c>
      <c r="D3" s="4">
        <v>0.5</v>
      </c>
    </row>
    <row r="4" ht="18.75" spans="1:8">
      <c r="A4" s="4">
        <v>2</v>
      </c>
      <c r="B4" s="37" t="s">
        <v>37</v>
      </c>
      <c r="C4" s="37" t="s">
        <v>38</v>
      </c>
      <c r="D4" s="4">
        <v>1</v>
      </c>
    </row>
    <row r="5" ht="18.75" spans="1:8">
      <c r="A5" s="4">
        <v>3</v>
      </c>
      <c r="B5" s="37" t="s">
        <v>39</v>
      </c>
      <c r="C5" s="37" t="s">
        <v>40</v>
      </c>
      <c r="D5" s="4">
        <v>1</v>
      </c>
    </row>
    <row r="6" ht="18.75" spans="1:8">
      <c r="A6" s="4">
        <v>4</v>
      </c>
      <c r="B6" s="5" t="s">
        <v>41</v>
      </c>
      <c r="C6" s="37" t="s">
        <v>42</v>
      </c>
      <c r="D6" s="4">
        <v>0.5</v>
      </c>
    </row>
    <row r="7" ht="18.75" spans="1:8">
      <c r="A7" s="4">
        <v>5</v>
      </c>
      <c r="B7" s="5" t="s">
        <v>43</v>
      </c>
      <c r="C7" s="37" t="s">
        <v>44</v>
      </c>
      <c r="D7" s="4">
        <v>0.75</v>
      </c>
    </row>
    <row r="8" ht="18.75" spans="1:8">
      <c r="A8" s="4">
        <v>6</v>
      </c>
      <c r="B8" s="5" t="s">
        <v>45</v>
      </c>
      <c r="C8" s="37" t="s">
        <v>46</v>
      </c>
      <c r="D8" s="4">
        <v>0.25</v>
      </c>
    </row>
    <row r="9" ht="18.75" spans="1:8">
      <c r="A9" s="4">
        <v>7</v>
      </c>
      <c r="B9" s="5" t="s">
        <v>47</v>
      </c>
      <c r="C9" s="37" t="s">
        <v>48</v>
      </c>
      <c r="D9" s="4">
        <v>1</v>
      </c>
      <c r="H9" s="38"/>
    </row>
    <row r="10" ht="18.75" spans="1:8">
      <c r="A10" s="4">
        <v>8</v>
      </c>
      <c r="B10" s="5" t="s">
        <v>49</v>
      </c>
      <c r="C10" s="37" t="s">
        <v>50</v>
      </c>
      <c r="D10" s="4">
        <v>1.5</v>
      </c>
    </row>
    <row r="11" ht="18.75" spans="1:8">
      <c r="A11" s="4">
        <v>9</v>
      </c>
      <c r="B11" s="5" t="s">
        <v>51</v>
      </c>
      <c r="C11" s="37" t="s">
        <v>52</v>
      </c>
      <c r="D11" s="4">
        <v>0.5</v>
      </c>
    </row>
    <row r="12" ht="18.75" spans="1:8">
      <c r="A12" s="4">
        <v>10</v>
      </c>
      <c r="B12" s="5" t="s">
        <v>53</v>
      </c>
      <c r="C12" s="37" t="s">
        <v>54</v>
      </c>
      <c r="D12" s="4">
        <v>1.25</v>
      </c>
    </row>
    <row r="13" ht="18.75" spans="1:8">
      <c r="A13" s="4">
        <v>11</v>
      </c>
      <c r="B13" s="5" t="s">
        <v>55</v>
      </c>
      <c r="C13" s="37" t="s">
        <v>56</v>
      </c>
      <c r="D13" s="4">
        <v>1</v>
      </c>
    </row>
    <row r="14" ht="18.75" spans="1:8">
      <c r="A14" s="4">
        <v>12</v>
      </c>
      <c r="B14" s="11" t="s">
        <v>57</v>
      </c>
      <c r="C14" s="39" t="s">
        <v>58</v>
      </c>
      <c r="D14" s="4">
        <v>1</v>
      </c>
    </row>
    <row r="15" ht="18.75" spans="1:8">
      <c r="A15" s="13">
        <v>13</v>
      </c>
      <c r="B15" s="11" t="s">
        <v>59</v>
      </c>
      <c r="C15" s="39" t="s">
        <v>60</v>
      </c>
      <c r="D15" s="4">
        <v>0.75</v>
      </c>
    </row>
    <row r="16" ht="18.75" spans="1:8">
      <c r="A16" s="4">
        <v>14</v>
      </c>
      <c r="B16" s="5" t="s">
        <v>61</v>
      </c>
      <c r="C16" s="37" t="s">
        <v>62</v>
      </c>
      <c r="D16" s="4">
        <v>0.5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ageMargins left="0.75" right="0.75" top="1" bottom="1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workbookViewId="0">
      <selection activeCell="H21" sqref="H21"/>
    </sheetView>
  </sheetViews>
  <sheetFormatPr defaultColWidth="14.4259259259259" defaultRowHeight="15" customHeight="1" outlineLevelCol="3"/>
  <cols>
    <col min="1" max="1" width="8.86111111111111" customWidth="1"/>
    <col min="2" max="2" width="14.287037037037" customWidth="1"/>
    <col min="3" max="3" width="23.1388888888889" customWidth="1"/>
    <col min="4" max="4" width="17.287037037037" customWidth="1"/>
    <col min="5" max="26" width="8.86111111111111" customWidth="1"/>
  </cols>
  <sheetData>
    <row r="1" ht="16.35" spans="1:4">
      <c r="A1" s="32" t="s">
        <v>64</v>
      </c>
      <c r="B1" s="15"/>
      <c r="C1" s="15"/>
      <c r="D1" s="16"/>
    </row>
    <row r="2" ht="16.35" spans="1:4">
      <c r="A2" s="33" t="s">
        <v>10</v>
      </c>
      <c r="B2" s="33" t="s">
        <v>11</v>
      </c>
      <c r="C2" s="34" t="s">
        <v>2</v>
      </c>
      <c r="D2" s="33" t="s">
        <v>65</v>
      </c>
    </row>
    <row r="3" ht="18.75" spans="1:4">
      <c r="A3" s="4">
        <v>1</v>
      </c>
      <c r="B3" s="5" t="s">
        <v>35</v>
      </c>
      <c r="C3" s="6" t="s">
        <v>36</v>
      </c>
      <c r="D3" s="4">
        <v>4.2</v>
      </c>
    </row>
    <row r="4" ht="18.75" spans="1:4">
      <c r="A4" s="4">
        <v>2</v>
      </c>
      <c r="B4" s="9" t="s">
        <v>37</v>
      </c>
      <c r="C4" s="6" t="s">
        <v>38</v>
      </c>
      <c r="D4" s="4">
        <v>5.8</v>
      </c>
    </row>
    <row r="5" ht="18.75" spans="1:4">
      <c r="A5" s="4">
        <v>3</v>
      </c>
      <c r="B5" s="9" t="s">
        <v>39</v>
      </c>
      <c r="C5" s="6" t="s">
        <v>40</v>
      </c>
      <c r="D5" s="4">
        <v>5.8</v>
      </c>
    </row>
    <row r="6" ht="18.75" spans="1:4">
      <c r="A6" s="4">
        <v>4</v>
      </c>
      <c r="B6" s="5" t="s">
        <v>41</v>
      </c>
      <c r="C6" s="6" t="s">
        <v>42</v>
      </c>
      <c r="D6" s="4">
        <v>4.5</v>
      </c>
    </row>
    <row r="7" ht="18.75" spans="1:4">
      <c r="A7" s="4">
        <v>5</v>
      </c>
      <c r="B7" s="5" t="s">
        <v>43</v>
      </c>
      <c r="C7" s="6" t="s">
        <v>44</v>
      </c>
      <c r="D7" s="4">
        <v>5.5</v>
      </c>
    </row>
    <row r="8" ht="18.75" spans="1:4">
      <c r="A8" s="4">
        <v>6</v>
      </c>
      <c r="B8" s="5" t="s">
        <v>45</v>
      </c>
      <c r="C8" s="6" t="s">
        <v>46</v>
      </c>
      <c r="D8" s="4">
        <v>7.5</v>
      </c>
    </row>
    <row r="9" ht="18.75" spans="1:4">
      <c r="A9" s="4">
        <v>7</v>
      </c>
      <c r="B9" s="5" t="s">
        <v>47</v>
      </c>
      <c r="C9" s="6" t="s">
        <v>48</v>
      </c>
      <c r="D9" s="4">
        <v>5.3</v>
      </c>
    </row>
    <row r="10" ht="18.75" spans="1:4">
      <c r="A10" s="4">
        <v>8</v>
      </c>
      <c r="B10" s="5" t="s">
        <v>49</v>
      </c>
      <c r="C10" s="6" t="s">
        <v>50</v>
      </c>
      <c r="D10" s="4">
        <v>6.8</v>
      </c>
    </row>
    <row r="11" ht="18.75" spans="1:4">
      <c r="A11" s="4">
        <v>9</v>
      </c>
      <c r="B11" s="5" t="s">
        <v>51</v>
      </c>
      <c r="C11" s="6" t="s">
        <v>52</v>
      </c>
      <c r="D11" s="4">
        <v>6.3</v>
      </c>
    </row>
    <row r="12" ht="18.75" spans="1:4">
      <c r="A12" s="4">
        <v>10</v>
      </c>
      <c r="B12" s="5" t="s">
        <v>53</v>
      </c>
      <c r="C12" s="6" t="s">
        <v>54</v>
      </c>
      <c r="D12" s="4">
        <v>8.3</v>
      </c>
    </row>
    <row r="13" ht="18.75" spans="1:4">
      <c r="A13" s="10">
        <v>11</v>
      </c>
      <c r="B13" s="5" t="s">
        <v>55</v>
      </c>
      <c r="C13" s="6" t="s">
        <v>56</v>
      </c>
      <c r="D13" s="4">
        <v>-3</v>
      </c>
    </row>
    <row r="14" ht="18.75" spans="1:4">
      <c r="A14" s="4">
        <v>12</v>
      </c>
      <c r="B14" s="11" t="s">
        <v>57</v>
      </c>
      <c r="C14" s="12" t="s">
        <v>58</v>
      </c>
      <c r="D14" s="4">
        <v>7</v>
      </c>
    </row>
    <row r="15" ht="18.75" spans="1:4">
      <c r="A15" s="13">
        <v>13</v>
      </c>
      <c r="B15" s="11" t="s">
        <v>59</v>
      </c>
      <c r="C15" s="12" t="s">
        <v>60</v>
      </c>
      <c r="D15" s="4">
        <v>-3</v>
      </c>
    </row>
    <row r="16" ht="18.75" spans="1:4">
      <c r="A16" s="4">
        <v>14</v>
      </c>
      <c r="B16" s="5" t="s">
        <v>61</v>
      </c>
      <c r="C16" s="6" t="s">
        <v>62</v>
      </c>
      <c r="D16" s="4">
        <v>6.5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ageMargins left="0.75" right="0.75" top="1" bottom="1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tabSelected="1" topLeftCell="A8" workbookViewId="0">
      <selection activeCell="J9" sqref="J9"/>
    </sheetView>
  </sheetViews>
  <sheetFormatPr defaultColWidth="14.4259259259259" defaultRowHeight="15" customHeight="1" outlineLevelCol="5"/>
  <cols>
    <col min="1" max="1" width="27.287037037037" customWidth="1"/>
    <col min="2" max="2" width="16" customWidth="1"/>
    <col min="3" max="3" width="25" customWidth="1"/>
    <col min="4" max="4" width="4.86111111111111" customWidth="1"/>
    <col min="5" max="5" width="19.712962962963" customWidth="1"/>
    <col min="6" max="6" width="17" customWidth="1"/>
    <col min="7" max="26" width="8.86111111111111" customWidth="1"/>
  </cols>
  <sheetData>
    <row r="1" ht="16.35" spans="1:6">
      <c r="A1" s="14" t="s">
        <v>66</v>
      </c>
      <c r="B1" s="15"/>
      <c r="C1" s="16"/>
      <c r="D1" s="17"/>
      <c r="E1" s="14" t="s">
        <v>67</v>
      </c>
      <c r="F1" s="16"/>
    </row>
    <row r="2" ht="16.35" spans="1:6">
      <c r="A2" s="18" t="s">
        <v>68</v>
      </c>
      <c r="B2" s="19" t="s">
        <v>69</v>
      </c>
      <c r="C2" s="18" t="s">
        <v>70</v>
      </c>
      <c r="D2" s="17"/>
      <c r="E2" s="19" t="s">
        <v>71</v>
      </c>
      <c r="F2" s="19" t="s">
        <v>72</v>
      </c>
    </row>
    <row r="3" ht="16.35" spans="1:6">
      <c r="A3" s="20">
        <v>0</v>
      </c>
      <c r="B3" s="20" t="s">
        <v>73</v>
      </c>
      <c r="C3" s="20">
        <v>0</v>
      </c>
      <c r="D3" s="17"/>
      <c r="E3" s="17">
        <v>0</v>
      </c>
      <c r="F3" s="17">
        <v>1</v>
      </c>
    </row>
    <row r="4" ht="16.35" spans="1:6">
      <c r="A4" s="17">
        <v>4</v>
      </c>
      <c r="B4" s="20" t="s">
        <v>74</v>
      </c>
      <c r="C4" s="17">
        <v>1</v>
      </c>
      <c r="D4" s="17"/>
      <c r="E4" s="17">
        <v>1</v>
      </c>
      <c r="F4" s="17">
        <v>0.5</v>
      </c>
    </row>
    <row r="5" ht="16.35" spans="1:6">
      <c r="A5" s="17">
        <v>5</v>
      </c>
      <c r="B5" s="20" t="s">
        <v>75</v>
      </c>
      <c r="C5" s="17">
        <v>1.5</v>
      </c>
      <c r="D5" s="17"/>
      <c r="E5" s="17">
        <v>2</v>
      </c>
      <c r="F5" s="17">
        <v>0.25</v>
      </c>
    </row>
    <row r="6" ht="16.35" spans="1:6">
      <c r="A6" s="17">
        <v>5.5</v>
      </c>
      <c r="B6" s="20" t="s">
        <v>76</v>
      </c>
      <c r="C6" s="17">
        <v>2</v>
      </c>
      <c r="D6" s="17"/>
      <c r="E6" s="17"/>
      <c r="F6" s="17"/>
    </row>
    <row r="7" ht="16.35" spans="1:6">
      <c r="A7" s="17">
        <v>6</v>
      </c>
      <c r="B7" s="20" t="s">
        <v>77</v>
      </c>
      <c r="C7" s="17">
        <v>2.5</v>
      </c>
      <c r="D7" s="17"/>
      <c r="E7" s="17"/>
      <c r="F7" s="17"/>
    </row>
    <row r="8" ht="16.35" spans="1:6">
      <c r="A8" s="17">
        <v>7</v>
      </c>
      <c r="B8" s="20" t="s">
        <v>78</v>
      </c>
      <c r="C8" s="17">
        <v>3</v>
      </c>
      <c r="D8" s="17"/>
      <c r="E8" s="17"/>
      <c r="F8" s="17"/>
    </row>
    <row r="9" ht="16.35" spans="1:6">
      <c r="A9" s="17">
        <v>8</v>
      </c>
      <c r="B9" s="20" t="s">
        <v>79</v>
      </c>
      <c r="C9" s="17">
        <v>3.5</v>
      </c>
      <c r="D9" s="17"/>
      <c r="E9" s="17"/>
      <c r="F9" s="17"/>
    </row>
    <row r="10" ht="16.35" spans="1:6">
      <c r="A10" s="17">
        <v>9</v>
      </c>
      <c r="B10" s="20" t="s">
        <v>80</v>
      </c>
      <c r="C10" s="17">
        <v>4</v>
      </c>
      <c r="D10" s="17"/>
      <c r="E10" s="17"/>
      <c r="F10" s="17"/>
    </row>
    <row r="12" ht="16.35" spans="1:6">
      <c r="A12" s="21"/>
      <c r="B12" s="15"/>
      <c r="C12" s="16"/>
      <c r="D12" s="22"/>
      <c r="E12" s="21"/>
      <c r="F12" s="16"/>
    </row>
    <row r="13" ht="16.35" spans="1:6">
      <c r="A13" s="14" t="s">
        <v>81</v>
      </c>
      <c r="B13" s="15"/>
      <c r="C13" s="16"/>
      <c r="D13" s="22"/>
      <c r="E13" s="14" t="s">
        <v>82</v>
      </c>
      <c r="F13" s="16"/>
    </row>
    <row r="14" ht="16.35" spans="1:6">
      <c r="A14" s="19" t="s">
        <v>10</v>
      </c>
      <c r="B14" s="19" t="s">
        <v>11</v>
      </c>
      <c r="C14" s="19" t="s">
        <v>83</v>
      </c>
      <c r="D14" s="22"/>
      <c r="E14" s="19" t="s">
        <v>84</v>
      </c>
      <c r="F14" s="19" t="s">
        <v>85</v>
      </c>
    </row>
    <row r="15" ht="18.75" spans="1:6">
      <c r="A15" s="4">
        <v>1</v>
      </c>
      <c r="B15" s="23" t="s">
        <v>35</v>
      </c>
      <c r="C15" s="6" t="s">
        <v>36</v>
      </c>
      <c r="D15" s="22"/>
      <c r="E15" s="24" t="s">
        <v>80</v>
      </c>
      <c r="F15" s="22">
        <f>COUNTIF('Điểm Tổng'!$K$7:$K$20,E15)</f>
        <v>0</v>
      </c>
    </row>
    <row r="16" ht="18.75" spans="1:6">
      <c r="A16" s="4">
        <v>2</v>
      </c>
      <c r="B16" s="25" t="s">
        <v>37</v>
      </c>
      <c r="C16" s="6" t="s">
        <v>38</v>
      </c>
      <c r="D16" s="22"/>
      <c r="E16" s="24" t="s">
        <v>79</v>
      </c>
      <c r="F16" s="22">
        <f>COUNTIF('Điểm Tổng'!$K$7:$K$20,E16)</f>
        <v>1</v>
      </c>
    </row>
    <row r="17" ht="18.75" spans="1:6">
      <c r="A17" s="4">
        <v>3</v>
      </c>
      <c r="B17" s="25" t="s">
        <v>39</v>
      </c>
      <c r="C17" s="6" t="s">
        <v>40</v>
      </c>
      <c r="D17" s="22"/>
      <c r="E17" s="24" t="s">
        <v>78</v>
      </c>
      <c r="F17" s="22">
        <f>COUNTIF('Điểm Tổng'!$K$7:$K$20,E17)</f>
        <v>2</v>
      </c>
    </row>
    <row r="18" ht="18.75" spans="1:6">
      <c r="A18" s="4">
        <v>4</v>
      </c>
      <c r="B18" s="5" t="s">
        <v>41</v>
      </c>
      <c r="C18" s="6" t="s">
        <v>42</v>
      </c>
      <c r="D18" s="22"/>
      <c r="E18" s="24" t="s">
        <v>77</v>
      </c>
      <c r="F18" s="22">
        <f>COUNTIF('Điểm Tổng'!$K$7:$K$20,E18)</f>
        <v>6</v>
      </c>
    </row>
    <row r="19" ht="18.75" spans="1:6">
      <c r="A19" s="4">
        <v>5</v>
      </c>
      <c r="B19" s="5" t="s">
        <v>43</v>
      </c>
      <c r="C19" s="6" t="s">
        <v>44</v>
      </c>
      <c r="D19" s="22"/>
      <c r="E19" s="24" t="s">
        <v>76</v>
      </c>
      <c r="F19" s="22">
        <f>COUNTIF('Điểm Tổng'!$K$7:$K$20,E19)</f>
        <v>1</v>
      </c>
    </row>
    <row r="20" ht="18.75" spans="1:6">
      <c r="A20" s="4">
        <v>6</v>
      </c>
      <c r="B20" s="5" t="s">
        <v>45</v>
      </c>
      <c r="C20" s="6" t="s">
        <v>46</v>
      </c>
      <c r="D20" s="22"/>
      <c r="E20" s="24" t="s">
        <v>75</v>
      </c>
      <c r="F20" s="22">
        <f>COUNTIF('Điểm Tổng'!$K$7:$K$20,E20)</f>
        <v>2</v>
      </c>
    </row>
    <row r="21" ht="15.75" customHeight="1" spans="1:6">
      <c r="A21" s="4">
        <v>7</v>
      </c>
      <c r="B21" s="5" t="s">
        <v>47</v>
      </c>
      <c r="C21" s="6" t="s">
        <v>48</v>
      </c>
      <c r="D21" s="22"/>
      <c r="E21" s="24" t="s">
        <v>74</v>
      </c>
      <c r="F21" s="22">
        <f>COUNTIF('Điểm Tổng'!$K$7:$K$20,E21)</f>
        <v>0</v>
      </c>
    </row>
    <row r="22" ht="15.75" customHeight="1" spans="1:6">
      <c r="A22" s="4">
        <v>8</v>
      </c>
      <c r="B22" s="5" t="s">
        <v>49</v>
      </c>
      <c r="C22" s="6" t="s">
        <v>50</v>
      </c>
      <c r="D22" s="22"/>
      <c r="E22" s="24" t="s">
        <v>73</v>
      </c>
      <c r="F22" s="22">
        <f>COUNTIF('Điểm Tổng'!$K$7:$K$20,E22)</f>
        <v>2</v>
      </c>
    </row>
    <row r="23" ht="15.75" customHeight="1" spans="1:6">
      <c r="A23" s="4">
        <v>9</v>
      </c>
      <c r="B23" s="5" t="s">
        <v>51</v>
      </c>
      <c r="C23" s="6" t="s">
        <v>52</v>
      </c>
      <c r="D23" s="22"/>
      <c r="E23" s="22"/>
      <c r="F23" s="22"/>
    </row>
    <row r="24" ht="15.75" customHeight="1" spans="1:6">
      <c r="A24" s="4">
        <v>10</v>
      </c>
      <c r="B24" s="5" t="s">
        <v>53</v>
      </c>
      <c r="C24" s="6" t="s">
        <v>54</v>
      </c>
      <c r="D24" s="22"/>
      <c r="E24" s="14" t="s">
        <v>86</v>
      </c>
      <c r="F24" s="16"/>
    </row>
    <row r="25" ht="15.75" customHeight="1" spans="1:6">
      <c r="A25" s="10">
        <v>11</v>
      </c>
      <c r="B25" s="5" t="s">
        <v>55</v>
      </c>
      <c r="C25" s="6" t="s">
        <v>56</v>
      </c>
      <c r="D25" s="22"/>
      <c r="E25" s="26" t="s">
        <v>87</v>
      </c>
      <c r="F25" s="27" cm="1">
        <f t="array" ref="F25">COUNTIF('Điểm Tổng'!$G$7:$G$20,O)+COUNTIF('Điểm Tổng'!$H$7:$H$20,-3)</f>
        <v>2</v>
      </c>
    </row>
    <row r="26" ht="15.75" customHeight="1" spans="1:6">
      <c r="A26" s="4">
        <v>12</v>
      </c>
      <c r="B26" s="11" t="s">
        <v>57</v>
      </c>
      <c r="C26" s="12" t="s">
        <v>58</v>
      </c>
      <c r="D26" s="22"/>
      <c r="E26" s="28"/>
      <c r="F26" s="29"/>
    </row>
    <row r="27" ht="15.75" customHeight="1" spans="1:6">
      <c r="A27" s="13">
        <v>13</v>
      </c>
      <c r="B27" s="11" t="s">
        <v>59</v>
      </c>
      <c r="C27" s="12" t="s">
        <v>60</v>
      </c>
      <c r="D27" s="22"/>
      <c r="E27" s="30"/>
      <c r="F27" s="31"/>
    </row>
    <row r="28" ht="15.75" customHeight="1" spans="1:6">
      <c r="A28" s="4">
        <v>14</v>
      </c>
      <c r="B28" s="5" t="s">
        <v>61</v>
      </c>
      <c r="C28" s="6" t="s">
        <v>62</v>
      </c>
      <c r="D28" s="22"/>
      <c r="E28" s="22" t="s">
        <v>88</v>
      </c>
      <c r="F28" s="22">
        <f>COUNTIF('Điểm Tổng'!$B$7:$B$20,"3*")+COUNTIF('Điểm Tổng'!$B$7:$B$20,"4*")+COUNTIF('Điểm Tổng'!$B$7:$B$20,"5*")</f>
        <v>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:C1"/>
    <mergeCell ref="E1:F1"/>
    <mergeCell ref="A12:C12"/>
    <mergeCell ref="E12:F12"/>
    <mergeCell ref="A13:C13"/>
    <mergeCell ref="E13:F13"/>
    <mergeCell ref="E24:F24"/>
    <mergeCell ref="E25:E27"/>
    <mergeCell ref="F25:F27"/>
  </mergeCells>
  <pageMargins left="0.75" right="0.75" top="1" bottom="1" header="0" footer="0"/>
  <pageSetup paperSize="1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workbookViewId="0">
      <selection activeCell="H3" sqref="H3"/>
    </sheetView>
  </sheetViews>
  <sheetFormatPr defaultColWidth="14.4259259259259" defaultRowHeight="15" customHeight="1" outlineLevelCol="4"/>
  <cols>
    <col min="1" max="1" width="8.86111111111111" customWidth="1"/>
    <col min="2" max="2" width="15.8611111111111" customWidth="1"/>
    <col min="3" max="3" width="23.4259259259259" customWidth="1"/>
    <col min="4" max="4" width="12.4259259259259" customWidth="1"/>
    <col min="5" max="5" width="13.1388888888889" customWidth="1"/>
    <col min="6" max="26" width="8.86111111111111" customWidth="1"/>
  </cols>
  <sheetData>
    <row r="1" ht="18.75" spans="1:5">
      <c r="A1" s="1" t="s">
        <v>10</v>
      </c>
      <c r="B1" s="1" t="s">
        <v>11</v>
      </c>
      <c r="C1" s="1" t="s">
        <v>2</v>
      </c>
      <c r="D1" s="2" t="s">
        <v>89</v>
      </c>
      <c r="E1" s="3" t="s">
        <v>19</v>
      </c>
    </row>
    <row r="2" ht="18.75" spans="1:5">
      <c r="A2" s="4">
        <v>1</v>
      </c>
      <c r="B2" s="5" t="s">
        <v>35</v>
      </c>
      <c r="C2" s="6" t="s">
        <v>36</v>
      </c>
      <c r="D2" s="7" t="str">
        <f>IF('Điểm Tổng'!J7&gt;=7,'Điểm Tổng'!J7,"")</f>
        <v/>
      </c>
      <c r="E2" s="8" t="str">
        <f>IF(D2&lt;&gt;"",'Điểm Tổng'!K7,"")</f>
        <v/>
      </c>
    </row>
    <row r="3" ht="18.75" spans="1:5">
      <c r="A3" s="4">
        <v>2</v>
      </c>
      <c r="B3" s="9" t="s">
        <v>37</v>
      </c>
      <c r="C3" s="6" t="s">
        <v>38</v>
      </c>
      <c r="D3" s="7" t="str">
        <f>IF('Điểm Tổng'!J8&gt;=7,'Điểm Tổng'!J8,"")</f>
        <v/>
      </c>
      <c r="E3" s="8" t="str">
        <f>IF(D3&lt;&gt;"",'Điểm Tổng'!K8,"")</f>
        <v/>
      </c>
    </row>
    <row r="4" ht="18.75" spans="1:5">
      <c r="A4" s="4">
        <v>3</v>
      </c>
      <c r="B4" s="9" t="s">
        <v>39</v>
      </c>
      <c r="C4" s="6" t="s">
        <v>40</v>
      </c>
      <c r="D4" s="7" t="str">
        <f>IF('Điểm Tổng'!J9&gt;=7,'Điểm Tổng'!J9,"")</f>
        <v/>
      </c>
      <c r="E4" s="8" t="str">
        <f>IF(D4&lt;&gt;"",'Điểm Tổng'!K9,"")</f>
        <v/>
      </c>
    </row>
    <row r="5" ht="18.75" spans="1:5">
      <c r="A5" s="4">
        <v>4</v>
      </c>
      <c r="B5" s="5" t="s">
        <v>41</v>
      </c>
      <c r="C5" s="6" t="s">
        <v>42</v>
      </c>
      <c r="D5" s="7" t="str">
        <f>IF('Điểm Tổng'!J10&gt;=7,'Điểm Tổng'!J10,"")</f>
        <v/>
      </c>
      <c r="E5" s="8" t="str">
        <f>IF(D5&lt;&gt;"",'Điểm Tổng'!K10,"")</f>
        <v/>
      </c>
    </row>
    <row r="6" ht="18.75" spans="1:5">
      <c r="A6" s="4">
        <v>5</v>
      </c>
      <c r="B6" s="5" t="s">
        <v>43</v>
      </c>
      <c r="C6" s="6" t="s">
        <v>44</v>
      </c>
      <c r="D6" s="7" t="str">
        <f>IF('Điểm Tổng'!J11&gt;=7,'Điểm Tổng'!J11,"")</f>
        <v/>
      </c>
      <c r="E6" s="8" t="str">
        <f>IF(D6&lt;&gt;"",'Điểm Tổng'!K11,"")</f>
        <v/>
      </c>
    </row>
    <row r="7" ht="18.75" spans="1:5">
      <c r="A7" s="4">
        <v>6</v>
      </c>
      <c r="B7" s="5" t="s">
        <v>45</v>
      </c>
      <c r="C7" s="6" t="s">
        <v>46</v>
      </c>
      <c r="D7" s="7" t="str">
        <f>IF('Điểm Tổng'!J12&gt;=7,'Điểm Tổng'!J12,"")</f>
        <v/>
      </c>
      <c r="E7" s="8" t="str">
        <f>IF(D7&lt;&gt;"",'Điểm Tổng'!K12,"")</f>
        <v/>
      </c>
    </row>
    <row r="8" ht="18.75" spans="1:5">
      <c r="A8" s="4">
        <v>7</v>
      </c>
      <c r="B8" s="5" t="s">
        <v>47</v>
      </c>
      <c r="C8" s="6" t="s">
        <v>48</v>
      </c>
      <c r="D8" s="7" t="str">
        <f>IF('Điểm Tổng'!J13&gt;=7,'Điểm Tổng'!J13,"")</f>
        <v/>
      </c>
      <c r="E8" s="8" t="str">
        <f>IF(D8&lt;&gt;"",'Điểm Tổng'!K13,"")</f>
        <v/>
      </c>
    </row>
    <row r="9" ht="18.75" spans="1:5">
      <c r="A9" s="4">
        <v>8</v>
      </c>
      <c r="B9" s="5" t="s">
        <v>49</v>
      </c>
      <c r="C9" s="6" t="s">
        <v>50</v>
      </c>
      <c r="D9" s="7">
        <f>IF('Điểm Tổng'!J14&gt;=7,'Điểm Tổng'!J14,"")</f>
        <v>7.9</v>
      </c>
      <c r="E9" s="8" t="str">
        <f>IF(D9&lt;&gt;"",'Điểm Tổng'!K14,"")</f>
        <v>B</v>
      </c>
    </row>
    <row r="10" ht="18.75" spans="1:5">
      <c r="A10" s="4">
        <v>9</v>
      </c>
      <c r="B10" s="5" t="s">
        <v>51</v>
      </c>
      <c r="C10" s="6" t="s">
        <v>52</v>
      </c>
      <c r="D10" s="7" t="str">
        <f>IF('Điểm Tổng'!J15&gt;=7,'Điểm Tổng'!J15,"")</f>
        <v/>
      </c>
      <c r="E10" s="8" t="str">
        <f>IF(D10&lt;&gt;"",'Điểm Tổng'!K15,"")</f>
        <v/>
      </c>
    </row>
    <row r="11" ht="18.75" spans="1:5">
      <c r="A11" s="4">
        <v>10</v>
      </c>
      <c r="B11" s="5" t="s">
        <v>53</v>
      </c>
      <c r="C11" s="6" t="s">
        <v>54</v>
      </c>
      <c r="D11" s="7">
        <f>IF('Điểm Tổng'!J16&gt;=7,'Điểm Tổng'!J16,"")</f>
        <v>8</v>
      </c>
      <c r="E11" s="8" t="str">
        <f>IF(D11&lt;&gt;"",'Điểm Tổng'!K16,"")</f>
        <v>B+</v>
      </c>
    </row>
    <row r="12" ht="18.75" spans="1:5">
      <c r="A12" s="10">
        <v>11</v>
      </c>
      <c r="B12" s="5" t="s">
        <v>55</v>
      </c>
      <c r="C12" s="6" t="s">
        <v>56</v>
      </c>
      <c r="D12" s="7" t="str">
        <f>IF('Điểm Tổng'!J17&gt;=7,'Điểm Tổng'!J17,"")</f>
        <v/>
      </c>
      <c r="E12" s="8" t="str">
        <f>IF(D12&lt;&gt;"",'Điểm Tổng'!K17,"")</f>
        <v/>
      </c>
    </row>
    <row r="13" ht="18.75" spans="1:5">
      <c r="A13" s="4">
        <v>12</v>
      </c>
      <c r="B13" s="11" t="s">
        <v>57</v>
      </c>
      <c r="C13" s="12" t="s">
        <v>58</v>
      </c>
      <c r="D13" s="7">
        <f>IF('Điểm Tổng'!J18&gt;=7,'Điểm Tổng'!J18,"")</f>
        <v>7</v>
      </c>
      <c r="E13" s="8" t="str">
        <f>IF(D13&lt;&gt;"",'Điểm Tổng'!K18,"")</f>
        <v>B</v>
      </c>
    </row>
    <row r="14" ht="18.75" spans="1:5">
      <c r="A14" s="13">
        <v>13</v>
      </c>
      <c r="B14" s="11" t="s">
        <v>59</v>
      </c>
      <c r="C14" s="12" t="s">
        <v>60</v>
      </c>
      <c r="D14" s="7" t="str">
        <f>IF('Điểm Tổng'!J19&gt;=7,'Điểm Tổng'!J19,"")</f>
        <v/>
      </c>
      <c r="E14" s="8" t="str">
        <f>IF(D14&lt;&gt;"",'Điểm Tổng'!K19,"")</f>
        <v/>
      </c>
    </row>
    <row r="15" ht="18.75" spans="1:5">
      <c r="A15" s="4">
        <v>14</v>
      </c>
      <c r="B15" s="5" t="s">
        <v>61</v>
      </c>
      <c r="C15" s="6" t="s">
        <v>62</v>
      </c>
      <c r="D15" s="7" t="str">
        <f>IF('Điểm Tổng'!J20&gt;=7,'Điểm Tổng'!J20,"")</f>
        <v/>
      </c>
      <c r="E15" s="8" t="str">
        <f>IF(D15&lt;&gt;"",'Điểm Tổng'!K20,"")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workbookViewId="0">
      <selection activeCell="H7" sqref="H7"/>
    </sheetView>
  </sheetViews>
  <sheetFormatPr defaultColWidth="14.4259259259259" defaultRowHeight="15" customHeight="1" outlineLevelCol="4"/>
  <cols>
    <col min="1" max="1" width="8.86111111111111" customWidth="1"/>
    <col min="2" max="2" width="15.5740740740741" customWidth="1"/>
    <col min="3" max="3" width="27.287037037037" customWidth="1"/>
    <col min="4" max="4" width="12.287037037037" customWidth="1"/>
    <col min="5" max="5" width="10.712962962963" customWidth="1"/>
    <col min="6" max="26" width="8.86111111111111" customWidth="1"/>
  </cols>
  <sheetData>
    <row r="1" ht="18.75" spans="1:5">
      <c r="A1" s="1" t="s">
        <v>10</v>
      </c>
      <c r="B1" s="1" t="s">
        <v>11</v>
      </c>
      <c r="C1" s="1" t="s">
        <v>2</v>
      </c>
      <c r="D1" s="2" t="s">
        <v>90</v>
      </c>
      <c r="E1" s="3" t="s">
        <v>19</v>
      </c>
    </row>
    <row r="2" ht="18.75" spans="1:5">
      <c r="A2" s="4">
        <v>1</v>
      </c>
      <c r="B2" s="5" t="s">
        <v>35</v>
      </c>
      <c r="C2" s="6" t="s">
        <v>36</v>
      </c>
      <c r="D2" s="7">
        <f>IF('Điểm Tổng'!J7&lt;7,'Điểm Tổng'!J7,"")</f>
        <v>5</v>
      </c>
      <c r="E2" s="8" t="str">
        <f>IF(D2&lt;&gt;"",'Điểm Tổng'!K7,"")</f>
        <v>D+</v>
      </c>
    </row>
    <row r="3" ht="18.75" spans="1:5">
      <c r="A3" s="4">
        <v>2</v>
      </c>
      <c r="B3" s="9" t="s">
        <v>37</v>
      </c>
      <c r="C3" s="6" t="s">
        <v>38</v>
      </c>
      <c r="D3" s="7">
        <f>IF('Điểm Tổng'!J8&lt;7,'Điểm Tổng'!J8,"")</f>
        <v>6.2</v>
      </c>
      <c r="E3" s="8" t="str">
        <f>IF(D3&lt;&gt;"",'Điểm Tổng'!K8,"")</f>
        <v>C+</v>
      </c>
    </row>
    <row r="4" ht="18.75" spans="1:5">
      <c r="A4" s="4">
        <v>3</v>
      </c>
      <c r="B4" s="9" t="s">
        <v>39</v>
      </c>
      <c r="C4" s="6" t="s">
        <v>40</v>
      </c>
      <c r="D4" s="7">
        <f>IF('Điểm Tổng'!J9&lt;7,'Điểm Tổng'!J9,"")</f>
        <v>6.3</v>
      </c>
      <c r="E4" s="8" t="str">
        <f>IF(D4&lt;&gt;"",'Điểm Tổng'!K9,"")</f>
        <v>C+</v>
      </c>
    </row>
    <row r="5" ht="18.75" spans="1:5">
      <c r="A5" s="4">
        <v>4</v>
      </c>
      <c r="B5" s="5" t="s">
        <v>41</v>
      </c>
      <c r="C5" s="6" t="s">
        <v>42</v>
      </c>
      <c r="D5" s="7">
        <f>IF('Điểm Tổng'!J10&lt;7,'Điểm Tổng'!J10,"")</f>
        <v>5.2</v>
      </c>
      <c r="E5" s="8" t="str">
        <f>IF(D5&lt;&gt;"",'Điểm Tổng'!K10,"")</f>
        <v>D+</v>
      </c>
    </row>
    <row r="6" ht="18.75" spans="1:5">
      <c r="A6" s="4">
        <v>5</v>
      </c>
      <c r="B6" s="5" t="s">
        <v>43</v>
      </c>
      <c r="C6" s="6" t="s">
        <v>44</v>
      </c>
      <c r="D6" s="7">
        <f>IF('Điểm Tổng'!J11&lt;7,'Điểm Tổng'!J11,"")</f>
        <v>5.6</v>
      </c>
      <c r="E6" s="8" t="str">
        <f>IF(D6&lt;&gt;"",'Điểm Tổng'!K11,"")</f>
        <v>C</v>
      </c>
    </row>
    <row r="7" ht="18.75" spans="1:5">
      <c r="A7" s="4">
        <v>6</v>
      </c>
      <c r="B7" s="5" t="s">
        <v>45</v>
      </c>
      <c r="C7" s="6" t="s">
        <v>46</v>
      </c>
      <c r="D7" s="7">
        <f>IF('Điểm Tổng'!J12&lt;7,'Điểm Tổng'!J12,"")</f>
        <v>6.7</v>
      </c>
      <c r="E7" s="8" t="str">
        <f>IF(D7&lt;&gt;"",'Điểm Tổng'!K12,"")</f>
        <v>C+</v>
      </c>
    </row>
    <row r="8" ht="18.75" spans="1:5">
      <c r="A8" s="4">
        <v>7</v>
      </c>
      <c r="B8" s="5" t="s">
        <v>47</v>
      </c>
      <c r="C8" s="6" t="s">
        <v>48</v>
      </c>
      <c r="D8" s="7">
        <f>IF('Điểm Tổng'!J13&lt;7,'Điểm Tổng'!J13,"")</f>
        <v>6.4</v>
      </c>
      <c r="E8" s="8" t="str">
        <f>IF(D8&lt;&gt;"",'Điểm Tổng'!K13,"")</f>
        <v>C+</v>
      </c>
    </row>
    <row r="9" ht="18.75" spans="1:5">
      <c r="A9" s="4">
        <v>8</v>
      </c>
      <c r="B9" s="5" t="s">
        <v>49</v>
      </c>
      <c r="C9" s="6" t="s">
        <v>50</v>
      </c>
      <c r="D9" s="7" t="str">
        <f>IF('Điểm Tổng'!J14&lt;7,'Điểm Tổng'!J14,"")</f>
        <v/>
      </c>
      <c r="E9" s="8" t="str">
        <f>IF(D9&lt;&gt;"",'Điểm Tổng'!K14,"")</f>
        <v/>
      </c>
    </row>
    <row r="10" ht="18.75" spans="1:5">
      <c r="A10" s="4">
        <v>9</v>
      </c>
      <c r="B10" s="5" t="s">
        <v>51</v>
      </c>
      <c r="C10" s="6" t="s">
        <v>52</v>
      </c>
      <c r="D10" s="7">
        <f>IF('Điểm Tổng'!J15&lt;7,'Điểm Tổng'!J15,"")</f>
        <v>6.5</v>
      </c>
      <c r="E10" s="8" t="str">
        <f>IF(D10&lt;&gt;"",'Điểm Tổng'!K15,"")</f>
        <v>C+</v>
      </c>
    </row>
    <row r="11" ht="18.75" spans="1:5">
      <c r="A11" s="4">
        <v>10</v>
      </c>
      <c r="B11" s="5" t="s">
        <v>53</v>
      </c>
      <c r="C11" s="6" t="s">
        <v>54</v>
      </c>
      <c r="D11" s="7" t="str">
        <f>IF('Điểm Tổng'!J16&lt;7,'Điểm Tổng'!J16,"")</f>
        <v/>
      </c>
      <c r="E11" s="8" t="str">
        <f>IF(D11&lt;&gt;"",'Điểm Tổng'!K16,"")</f>
        <v/>
      </c>
    </row>
    <row r="12" ht="18.75" spans="1:5">
      <c r="A12" s="10">
        <v>11</v>
      </c>
      <c r="B12" s="5" t="s">
        <v>55</v>
      </c>
      <c r="C12" s="6" t="s">
        <v>56</v>
      </c>
      <c r="D12" s="7">
        <f>IF('Điểm Tổng'!J17&lt;7,'Điểm Tổng'!J17,"")</f>
        <v>0</v>
      </c>
      <c r="E12" s="8" t="str">
        <f>IF(D12&lt;&gt;"",'Điểm Tổng'!K17,"")</f>
        <v>F</v>
      </c>
    </row>
    <row r="13" ht="18.75" spans="1:5">
      <c r="A13" s="4">
        <v>12</v>
      </c>
      <c r="B13" s="11" t="s">
        <v>57</v>
      </c>
      <c r="C13" s="12" t="s">
        <v>58</v>
      </c>
      <c r="D13" s="7" t="str">
        <f>IF('Điểm Tổng'!J18&lt;7,'Điểm Tổng'!J18,"")</f>
        <v/>
      </c>
      <c r="E13" s="8" t="str">
        <f>IF(D13&lt;&gt;"",'Điểm Tổng'!K18,"")</f>
        <v/>
      </c>
    </row>
    <row r="14" ht="18.75" spans="1:5">
      <c r="A14" s="13">
        <v>13</v>
      </c>
      <c r="B14" s="11" t="s">
        <v>59</v>
      </c>
      <c r="C14" s="12" t="s">
        <v>60</v>
      </c>
      <c r="D14" s="7">
        <f>IF('Điểm Tổng'!J19&lt;7,'Điểm Tổng'!J19,"")</f>
        <v>0</v>
      </c>
      <c r="E14" s="8" t="str">
        <f>IF(D14&lt;&gt;"",'Điểm Tổng'!K19,"")</f>
        <v>F</v>
      </c>
    </row>
    <row r="15" ht="18.75" spans="1:5">
      <c r="A15" s="4">
        <v>14</v>
      </c>
      <c r="B15" s="5" t="s">
        <v>61</v>
      </c>
      <c r="C15" s="6" t="s">
        <v>62</v>
      </c>
      <c r="D15" s="7">
        <f>IF('Điểm Tổng'!J20&lt;7,'Điểm Tổng'!J20,"")</f>
        <v>6.2</v>
      </c>
      <c r="E15" s="8" t="str">
        <f>IF(D15&lt;&gt;"",'Điểm Tổng'!K20,"")</f>
        <v>C+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Điểm Tổng</vt:lpstr>
      <vt:lpstr>Điểm thực hành  các buổi</vt:lpstr>
      <vt:lpstr>Điểm bài tập lớn</vt:lpstr>
      <vt:lpstr>Điểm lý thuyết</vt:lpstr>
      <vt:lpstr>Các bảng tham chiếu &amp; Thống kê</vt:lpstr>
      <vt:lpstr>SV điểm &gt;=7</vt:lpstr>
      <vt:lpstr>SV điểm &lt;7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Nguyen Minh Dat B2611252</cp:lastModifiedBy>
  <dcterms:created xsi:type="dcterms:W3CDTF">2026-09-27T13:30:00Z</dcterms:created>
  <dcterms:modified xsi:type="dcterms:W3CDTF">2026-10-02T04:37:24Z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7549938B2F3941ADB20DFA9291DD468D_13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